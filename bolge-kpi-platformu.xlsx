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sil_Kullanilir" sheetId="1" state="visible" r:id="rId3"/>
    <sheet name="Genel_Tablo" sheetId="2" state="visible" r:id="rId4"/>
    <sheet name="Performans_Puani" sheetId="3" state="visible" r:id="rId5"/>
    <sheet name="Hedefler" sheetId="4" state="visible" r:id="rId6"/>
    <sheet name="Satis" sheetId="5" state="visible" r:id="rId7"/>
    <sheet name="PnL" sheetId="6" state="visible" r:id="rId8"/>
    <sheet name="CRM" sheetId="7" state="visible" r:id="rId9"/>
    <sheet name="Paket_Servis" sheetId="8" state="visible" r:id="rId10"/>
    <sheet name="Urun_Karmasi" sheetId="9" state="visible" r:id="rId11"/>
    <sheet name="Fire_Envanter" sheetId="10" state="visible" r:id="rId12"/>
    <sheet name="Egitim" sheetId="11" state="visible" r:id="rId13"/>
    <sheet name="Personel" sheetId="12" state="visible" r:id="rId14"/>
    <sheet name="Kahve_Sohbeti" sheetId="13" state="visible" r:id="rId15"/>
    <sheet name="Sikayet" sheetId="14" state="visible" r:id="rId16"/>
    <sheet name="Denetim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<sst xmlns="http://schemas.openxmlformats.org/spreadsheetml/2006/main" count="784" uniqueCount="160">
  <si>
    <t xml:space="preserve">Bölge KPI Kontrol Platformu</t>
  </si>
  <si>
    <t xml:space="preserve">Tüm mağaza ve rakamlar SAHTEDİR. Orijinal dosyanın yapısı (kaynak sayfalar, genel tablo, hedefler, performans puanı) sahte veriyle yeniden kurulmuştur.</t>
  </si>
  <si>
    <t xml:space="preserve">Her ay</t>
  </si>
  <si>
    <t xml:space="preserve">1. Sistem raporları ilgili kaynak sayfalara yapıştırılır: Satis, PnL, CRM, Paket_Servis, Urun_Karmasi, Fire_Envanter, Egitim, Personel, Kahve_Sohbeti, Sikayet, Denetim.</t>
  </si>
  <si>
    <t xml:space="preserve">   Her kaynak sayfada A sütunu anahtar formülüdür (Dönem|Mağaza); veri B sütunundan başlar.</t>
  </si>
  <si>
    <t xml:space="preserve">2. Genel_Tablo sayfasında dönem seçilir. Her mağaza tek satırda, tüm göstergeler hedefe göre yeşil/kırmızı görünür.</t>
  </si>
  <si>
    <t xml:space="preserve">3. Performans_Puani: her gösterge hedefi tuttuysa katsayısı kadar puan verir; toplam 100 üzerindendir ve mağazalar sıralanır.</t>
  </si>
  <si>
    <t xml:space="preserve">4. Aylık toplantıda Genel_Tablo üzerinden sapmalar konuşulur; P&amp;L sapma açıklamaları PnL sayfasındaki Açıklama sütunundan gelir.</t>
  </si>
  <si>
    <t xml:space="preserve">Hedefler ve katsayılar Hedefler sayfasından değiştirilir. Yön: '≥' büyük olması iyi, '≤' küçük olması iyi.</t>
  </si>
  <si>
    <t xml:space="preserve">Kısaltmalar</t>
  </si>
  <si>
    <t xml:space="preserve">ADT: günlük ortalama işlem (adisyon) · MTD: ay başından bugüne · BP: bütçe · CRM: sadakat programı · OE: origin espresso · Food attach: içecek başına yiyecek oranı</t>
  </si>
  <si>
    <t xml:space="preserve">Food MO: yiyecek fire (mark-out) oranı · ASA: genel operasyon denetimi · PAP: kayıp önleme / çalışan güvence denetimi · RSA: gıda güvenliği denetimi</t>
  </si>
  <si>
    <t xml:space="preserve">Mağaza katkısı (P&amp;L Line 12): P&amp;L'in son kalemi; net satıştan maliyet, royalty, personel, kontrol edilebilir giderler, kira ve amortisman düşüldükten sonra kalan mağaza kârlılığı</t>
  </si>
  <si>
    <t xml:space="preserve">Renk kodu: mavi = girilen değer · sarı zemin = her ay seçilen hücre · siyah = formül · yeşil = başka sayfadan gelen değer</t>
  </si>
  <si>
    <t xml:space="preserve">Dönem:</t>
  </si>
  <si>
    <t xml:space="preserve">P3</t>
  </si>
  <si>
    <t xml:space="preserve">SATIŞ</t>
  </si>
  <si>
    <t xml:space="preserve">P&amp;L</t>
  </si>
  <si>
    <t xml:space="preserve">CRM</t>
  </si>
  <si>
    <t xml:space="preserve">PAKET SERVİS</t>
  </si>
  <si>
    <t xml:space="preserve">ÜRÜN KARMASI</t>
  </si>
  <si>
    <t xml:space="preserve">FİRE / ENVANTER</t>
  </si>
  <si>
    <t xml:space="preserve">EKİP</t>
  </si>
  <si>
    <t xml:space="preserve">MİSAFİR</t>
  </si>
  <si>
    <t xml:space="preserve">DENETİM</t>
  </si>
  <si>
    <t xml:space="preserve">Hedef</t>
  </si>
  <si>
    <t xml:space="preserve">Mağaza</t>
  </si>
  <si>
    <t xml:space="preserve">Format</t>
  </si>
  <si>
    <t xml:space="preserve">ADT</t>
  </si>
  <si>
    <t xml:space="preserve">Net Satış (TL)</t>
  </si>
  <si>
    <t xml:space="preserve">Satış Bütçe Sapması %</t>
  </si>
  <si>
    <t xml:space="preserve">Mağaza Katkısı (Line 12) TL</t>
  </si>
  <si>
    <t xml:space="preserve">Line 12 Bütçe Sapması %</t>
  </si>
  <si>
    <t xml:space="preserve">CRM Satış %</t>
  </si>
  <si>
    <t xml:space="preserve">Paket İptal %</t>
  </si>
  <si>
    <t xml:space="preserve">Platform Açıklık %</t>
  </si>
  <si>
    <t xml:space="preserve">Paket Satış Payı %</t>
  </si>
  <si>
    <t xml:space="preserve">Origin Espresso %</t>
  </si>
  <si>
    <t xml:space="preserve">Food Attach %</t>
  </si>
  <si>
    <t xml:space="preserve">Food Attach Geçen Yıla Fark</t>
  </si>
  <si>
    <t xml:space="preserve">Food Mark-out %</t>
  </si>
  <si>
    <t xml:space="preserve">Envanter Farkı %</t>
  </si>
  <si>
    <t xml:space="preserve">Eğitim Tamamlama %</t>
  </si>
  <si>
    <t xml:space="preserve">Turnover (YTD) %</t>
  </si>
  <si>
    <t xml:space="preserve">Kahve Sohbeti Hedef Farkı</t>
  </si>
  <si>
    <t xml:space="preserve">Şikâyet / 1.000 İşlem</t>
  </si>
  <si>
    <t xml:space="preserve">ASA</t>
  </si>
  <si>
    <t xml:space="preserve">PAP</t>
  </si>
  <si>
    <t xml:space="preserve">RSA</t>
  </si>
  <si>
    <t xml:space="preserve">Performans Puanı</t>
  </si>
  <si>
    <t xml:space="preserve">Sıra</t>
  </si>
  <si>
    <t xml:space="preserve">P&amp;L Sapma Açıklaması</t>
  </si>
  <si>
    <t xml:space="preserve">Mağaza A</t>
  </si>
  <si>
    <t xml:space="preserve">AVM</t>
  </si>
  <si>
    <t xml:space="preserve">Mağaza B</t>
  </si>
  <si>
    <t xml:space="preserve">Cadde</t>
  </si>
  <si>
    <t xml:space="preserve">Mağaza C</t>
  </si>
  <si>
    <t xml:space="preserve">Kampüs</t>
  </si>
  <si>
    <t xml:space="preserve">Mağaza D</t>
  </si>
  <si>
    <t xml:space="preserve">Havalimanı</t>
  </si>
  <si>
    <t xml:space="preserve">Mağaza E</t>
  </si>
  <si>
    <t xml:space="preserve">Otoyol</t>
  </si>
  <si>
    <t xml:space="preserve">Mağaza F</t>
  </si>
  <si>
    <t xml:space="preserve">Mağaza G</t>
  </si>
  <si>
    <t xml:space="preserve">Mağaza H</t>
  </si>
  <si>
    <t xml:space="preserve">Drive-thru</t>
  </si>
  <si>
    <t xml:space="preserve">BÖLGE</t>
  </si>
  <si>
    <t xml:space="preserve">Bölge satırında oranlar mağaza ortalamasıdır. Yeşil: hedef tuttu · Kırmızı: tutmadı. Puan: 80 ve üzeri yeşil, 60 altı kırmızı.</t>
  </si>
  <si>
    <t xml:space="preserve">Her gösterge hedefi tuttuysa Hedefler sayfasındaki katsayı kadar puan verir. Toplam 100 üzerindendir. Veri yoksa gösterge puansız kalır.</t>
  </si>
  <si>
    <t xml:space="preserve">Katsayı</t>
  </si>
  <si>
    <t xml:space="preserve">SAT</t>
  </si>
  <si>
    <t xml:space="preserve">L12</t>
  </si>
  <si>
    <t xml:space="preserve">IPT</t>
  </si>
  <si>
    <t xml:space="preserve">ACK</t>
  </si>
  <si>
    <t xml:space="preserve">OE</t>
  </si>
  <si>
    <t xml:space="preserve">FAF</t>
  </si>
  <si>
    <t xml:space="preserve">FMO</t>
  </si>
  <si>
    <t xml:space="preserve">ENV</t>
  </si>
  <si>
    <t xml:space="preserve">EGT</t>
  </si>
  <si>
    <t xml:space="preserve">TRN</t>
  </si>
  <si>
    <t xml:space="preserve">KSF</t>
  </si>
  <si>
    <t xml:space="preserve">CFS</t>
  </si>
  <si>
    <t xml:space="preserve">Puan</t>
  </si>
  <si>
    <t xml:space="preserve">Hedefler ve Performans Katsayıları</t>
  </si>
  <si>
    <t xml:space="preserve">Kod</t>
  </si>
  <si>
    <t xml:space="preserve">Gösterge</t>
  </si>
  <si>
    <t xml:space="preserve">Birim</t>
  </si>
  <si>
    <t xml:space="preserve">Yön</t>
  </si>
  <si>
    <t xml:space="preserve">Satış bütçe sapması</t>
  </si>
  <si>
    <t xml:space="preserve">%</t>
  </si>
  <si>
    <t xml:space="preserve">≥</t>
  </si>
  <si>
    <t xml:space="preserve">Mağaza katkısı bütçe sapması (Line 12)</t>
  </si>
  <si>
    <t xml:space="preserve">CRM satış oranı</t>
  </si>
  <si>
    <t xml:space="preserve">Paket servis iptal oranı</t>
  </si>
  <si>
    <t xml:space="preserve">≤</t>
  </si>
  <si>
    <t xml:space="preserve">Platform açıklık oranı</t>
  </si>
  <si>
    <t xml:space="preserve">Origin espresso oranı</t>
  </si>
  <si>
    <t xml:space="preserve">Food attach geçen yıla göre fark</t>
  </si>
  <si>
    <t xml:space="preserve">puan</t>
  </si>
  <si>
    <t xml:space="preserve">Food mark-out oranı</t>
  </si>
  <si>
    <t xml:space="preserve">Envanter sayım farkı</t>
  </si>
  <si>
    <t xml:space="preserve">Eğitim tamamlama</t>
  </si>
  <si>
    <t xml:space="preserve">Turnover (yıl başından)</t>
  </si>
  <si>
    <t xml:space="preserve">Kahve sohbeti hedef farkı</t>
  </si>
  <si>
    <t xml:space="preserve">adet</t>
  </si>
  <si>
    <t xml:space="preserve">Şikâyet / 1.000 işlem</t>
  </si>
  <si>
    <t xml:space="preserve">oran</t>
  </si>
  <si>
    <t xml:space="preserve">ASA denetim puanı</t>
  </si>
  <si>
    <t xml:space="preserve">PAP denetim puanı</t>
  </si>
  <si>
    <t xml:space="preserve">RSA denetim puanı</t>
  </si>
  <si>
    <t xml:space="preserve">Toplam</t>
  </si>
  <si>
    <t xml:space="preserve">Hedef değerleri orijinal dosyadaki hedef satırından alınmıştır. Katsayılar örnek değerdir; kurumun performans sistemine göre değiştirilir.</t>
  </si>
  <si>
    <t xml:space="preserve">Anahtar</t>
  </si>
  <si>
    <t xml:space="preserve">Dönem</t>
  </si>
  <si>
    <t xml:space="preserve">Ortalama Adisyon (TL)</t>
  </si>
  <si>
    <t xml:space="preserve">Satış Bütçesi (TL)</t>
  </si>
  <si>
    <t xml:space="preserve">P1</t>
  </si>
  <si>
    <t xml:space="preserve">P2</t>
  </si>
  <si>
    <t xml:space="preserve">Net Satış</t>
  </si>
  <si>
    <t xml:space="preserve">COGS</t>
  </si>
  <si>
    <t xml:space="preserve">Royalty</t>
  </si>
  <si>
    <t xml:space="preserve">Personel</t>
  </si>
  <si>
    <t xml:space="preserve">Kontrol Edilebilir</t>
  </si>
  <si>
    <t xml:space="preserve">Kira</t>
  </si>
  <si>
    <t xml:space="preserve">Amortisman</t>
  </si>
  <si>
    <t xml:space="preserve">Mağaza Katkısı (Line 12)</t>
  </si>
  <si>
    <t xml:space="preserve">Mağaza Katkısı Bütçe</t>
  </si>
  <si>
    <t xml:space="preserve">Sapma Açıklaması</t>
  </si>
  <si>
    <t xml:space="preserve">Satış bütçenin altında kaldı; mağaza katkısı bundan etkilendi, diğer kalemler stabil.</t>
  </si>
  <si>
    <t xml:space="preserve">Satış bütçenin üzerinde; personel maliyeti vardiya planıyla dengelendi.</t>
  </si>
  <si>
    <t xml:space="preserve">Kontrol edilebilir giderlerde bakım faturası yansıdı.</t>
  </si>
  <si>
    <t xml:space="preserve">Kira farkı sözleşme yenilemesinden; emlak ekibine iletildi.</t>
  </si>
  <si>
    <t xml:space="preserve">İşlem</t>
  </si>
  <si>
    <t xml:space="preserve">CRM İşlem</t>
  </si>
  <si>
    <t xml:space="preserve">CRM Satış</t>
  </si>
  <si>
    <t xml:space="preserve">Platform 1 İşlem</t>
  </si>
  <si>
    <t xml:space="preserve">Platform 1 İptal</t>
  </si>
  <si>
    <t xml:space="preserve">Platform 2 İşlem</t>
  </si>
  <si>
    <t xml:space="preserve">Platform 2 İptal</t>
  </si>
  <si>
    <t xml:space="preserve">Platform 1 Açıklık</t>
  </si>
  <si>
    <t xml:space="preserve">Platform 2 Açıklık</t>
  </si>
  <si>
    <t xml:space="preserve">Paket Satış Payı</t>
  </si>
  <si>
    <t xml:space="preserve">Espresso İçecek Adedi</t>
  </si>
  <si>
    <t xml:space="preserve">Origin Espresso Adedi</t>
  </si>
  <si>
    <t xml:space="preserve">İçecek Adedi</t>
  </si>
  <si>
    <t xml:space="preserve">Yiyecek Adedi</t>
  </si>
  <si>
    <t xml:space="preserve">Geçen Yıl Food Attach</t>
  </si>
  <si>
    <t xml:space="preserve">Yiyecek Satışı (TL)</t>
  </si>
  <si>
    <t xml:space="preserve">Food Mark-out (TL)</t>
  </si>
  <si>
    <t xml:space="preserve">Envanter Sayım Farkı (TL)</t>
  </si>
  <si>
    <t xml:space="preserve">Atanan Eğitim</t>
  </si>
  <si>
    <t xml:space="preserve">Tamamlanan</t>
  </si>
  <si>
    <t xml:space="preserve">Ortalama Çalışan</t>
  </si>
  <si>
    <t xml:space="preserve">Ayrılan (yıl başından)</t>
  </si>
  <si>
    <t xml:space="preserve">Çalışan Sayısı</t>
  </si>
  <si>
    <t xml:space="preserve">Yapılan Sohbet</t>
  </si>
  <si>
    <t xml:space="preserve">Şikâyet Adedi</t>
  </si>
  <si>
    <t xml:space="preserve">ASA (son denetim)</t>
  </si>
  <si>
    <t xml:space="preserve">PAP (son denetim)</t>
  </si>
  <si>
    <t xml:space="preserve">RSA (son denetim)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</si>
</sst>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+0.0%;\-0.0%"/>
    <numFmt numFmtId="167" formatCode="0.0%"/>
    <numFmt numFmtId="168" formatCode="0.00%"/>
    <numFmt numFmtId="169" formatCode="0%"/>
    <numFmt numFmtId="170" formatCode="\+0;\-0;0"/>
    <numFmt numFmtId="171" formatCode="0.00"/>
    <numFmt numFmtId="172" formatCode="0"/>
    <numFmt numFmtId="173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990000"/>
      <name val="Arial"/>
      <family val="0"/>
      <charset val="1"/>
    </font>
    <font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3F3F3"/>
        <bgColor rgb="FFDDE7E2"/>
      </patternFill>
    </fill>
    <fill>
      <patternFill patternType="solid">
        <fgColor rgb="FFDDE7E2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7E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666666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Mağaza performans puanı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Performans_Puani!S4</c:f>
              <c:strCache>
                <c:ptCount val="1"/>
                <c:pt idx="0">
                  <c:v>Puan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Performans_Puani!$A$5:$A$12</c:f>
              <c:strCache>
                <c:ptCount val="8"/>
                <c:pt idx="0">
                  <c:v>Mağaza A</c:v>
                </c:pt>
                <c:pt idx="1">
                  <c:v>Mağaza B</c:v>
                </c:pt>
                <c:pt idx="2">
                  <c:v>Mağaza C</c:v>
                </c:pt>
                <c:pt idx="3">
                  <c:v>Mağaza D</c:v>
                </c:pt>
                <c:pt idx="4">
                  <c:v>Mağaza E</c:v>
                </c:pt>
                <c:pt idx="5">
                  <c:v>Mağaza F</c:v>
                </c:pt>
                <c:pt idx="6">
                  <c:v>Mağaza G</c:v>
                </c:pt>
                <c:pt idx="7">
                  <c:v>Mağaza H</c:v>
                </c:pt>
              </c:strCache>
            </c:strRef>
          </c:cat>
          <c:val>
            <c:numRef>
              <c:f>Performans_Puani!$S$5:$S$12</c:f>
              <c:numCache>
                <c:formatCode>General</c:formatCode>
                <c:ptCount val="8"/>
                <c:pt idx="0">
                  <c:v>78</c:v>
                </c:pt>
                <c:pt idx="1">
                  <c:v>75</c:v>
                </c:pt>
                <c:pt idx="2">
                  <c:v>57</c:v>
                </c:pt>
                <c:pt idx="3">
                  <c:v>41</c:v>
                </c:pt>
                <c:pt idx="4">
                  <c:v>67</c:v>
                </c:pt>
                <c:pt idx="5">
                  <c:v>41</c:v>
                </c:pt>
                <c:pt idx="6">
                  <c:v>78</c:v>
                </c:pt>
                <c:pt idx="7">
                  <c:v>62</c:v>
                </c:pt>
              </c:numCache>
            </c:numRef>
          </c:val>
        </c:ser>
        <c:gapWidth val="150"/>
        <c:overlap val="0"/>
        <c:axId val="45196273"/>
        <c:axId val="5186709"/>
      </c:barChart>
      <c:catAx>
        <c:axId val="451962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6709"/>
        <c:crosses val="autoZero"/>
        <c:auto val="1"/>
        <c:lblAlgn val="ctr"/>
        <c:lblOffset val="100"/>
        <c:noMultiLvlLbl val="0"/>
      </c:catAx>
      <c:valAx>
        <c:axId val="5186709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962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176040</xdr:rowOff>
    </xdr:from>
    <xdr:to>
      <xdr:col>10</xdr:col>
      <xdr:colOff>387720</xdr:colOff>
      <xdr:row>27</xdr:row>
      <xdr:rowOff>28440</xdr:rowOff>
    </xdr:to>
    <xdr:graphicFrame>
      <xdr:nvGraphicFramePr>
        <xdr:cNvPr id="0" name="Chart 1"/>
        <xdr:cNvGraphicFramePr/>
      </xdr:nvGraphicFramePr>
      <xdr:xfrm>
        <a:off x="0" y="27813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3" min="11" style="0" width="8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20" min="16" style="0" width="9"/>
    <col collapsed="false" customWidth="true" hidden="false" outlineLevel="0" max="23" min="21" style="0" width="6"/>
    <col collapsed="false" customWidth="true" hidden="false" outlineLevel="0" max="24" min="24" style="0" width="10"/>
    <col collapsed="false" customWidth="true" hidden="false" outlineLevel="0" max="25" min="25" style="0" width="6"/>
    <col collapsed="false" customWidth="true" hidden="false" outlineLevel="0" max="26" min="26" style="0" width="48"/>
  </cols>
  <sheetData>
    <row r="1" customFormat="false" ht="16.15" hidden="false" customHeight="false" outlineLevel="0" collapsed="false">
      <c r="A1" s="4" t="s">
        <v>14</v>
      </c>
      <c r="B1" s="5" t="s">
        <v>15</v>
      </c>
      <c r="D1" s="1" t="str">
        <f aca="false">"Bölge KPI Genel Tablo — "&amp;B1</f>
        <v>Bölge KPI Genel Tablo — P3</v>
      </c>
    </row>
    <row r="2" customFormat="false" ht="15" hidden="false" customHeight="false" outlineLevel="0" collapsed="false">
      <c r="C2" s="6" t="s">
        <v>16</v>
      </c>
      <c r="D2" s="6"/>
      <c r="E2" s="6"/>
      <c r="F2" s="6" t="s">
        <v>17</v>
      </c>
      <c r="G2" s="6"/>
      <c r="H2" s="7" t="s">
        <v>18</v>
      </c>
      <c r="I2" s="6" t="s">
        <v>19</v>
      </c>
      <c r="J2" s="6"/>
      <c r="K2" s="6"/>
      <c r="L2" s="6" t="s">
        <v>20</v>
      </c>
      <c r="M2" s="6"/>
      <c r="N2" s="6"/>
      <c r="O2" s="6" t="s">
        <v>21</v>
      </c>
      <c r="P2" s="6"/>
      <c r="Q2" s="6" t="s">
        <v>22</v>
      </c>
      <c r="R2" s="6"/>
      <c r="S2" s="6"/>
      <c r="T2" s="7" t="s">
        <v>23</v>
      </c>
      <c r="U2" s="6" t="s">
        <v>24</v>
      </c>
      <c r="V2" s="6"/>
      <c r="W2" s="6"/>
    </row>
    <row r="3" customFormat="false" ht="15" hidden="false" customHeight="false" outlineLevel="0" collapsed="false">
      <c r="A3" s="8" t="s">
        <v>25</v>
      </c>
      <c r="E3" s="9" t="str">
        <f aca="false">Hedefler!$D$4&amp;" "&amp;TEXT(Hedefler!$E$4,"0.0%")</f>
        <v>≥ 0.0%</v>
      </c>
      <c r="G3" s="9" t="str">
        <f aca="false">Hedefler!$D$5&amp;" "&amp;TEXT(Hedefler!$E$5,"0.0%")</f>
        <v>≥ 0.0%</v>
      </c>
      <c r="H3" s="9" t="str">
        <f aca="false">Hedefler!$D$6&amp;" "&amp;TEXT(Hedefler!$E$6,"0.0%")</f>
        <v>≥ 14.0%</v>
      </c>
      <c r="I3" s="9" t="str">
        <f aca="false">Hedefler!$D$7&amp;" "&amp;TEXT(Hedefler!$E$7,"0.0%")</f>
        <v>≤ 7.0%</v>
      </c>
      <c r="J3" s="9" t="str">
        <f aca="false">Hedefler!$D$8&amp;" "&amp;TEXT(Hedefler!$E$8,"0.0%")</f>
        <v>≥ 90.0%</v>
      </c>
      <c r="L3" s="9" t="str">
        <f aca="false">Hedefler!$D$9&amp;" "&amp;TEXT(Hedefler!$E$9,"0.0%")</f>
        <v>≥ 18.0%</v>
      </c>
      <c r="N3" s="9" t="str">
        <f aca="false">Hedefler!$D$10&amp;" "&amp;TEXT(Hedefler!$E$10,"0.0%")</f>
        <v>≥ 0.0%</v>
      </c>
      <c r="O3" s="9" t="str">
        <f aca="false">Hedefler!$D$11&amp;" "&amp;TEXT(Hedefler!$E$11,"0.0%")</f>
        <v>≤ 8.0%</v>
      </c>
      <c r="P3" s="9" t="str">
        <f aca="false">Hedefler!$D$12&amp;" "&amp;TEXT(Hedefler!$E$12,"0.00%")</f>
        <v>≥ -0.50%</v>
      </c>
      <c r="Q3" s="9" t="str">
        <f aca="false">Hedefler!$D$13&amp;" "&amp;TEXT(Hedefler!$E$13,"0%")</f>
        <v>≥ 95%</v>
      </c>
      <c r="R3" s="9" t="str">
        <f aca="false">Hedefler!$D$14&amp;" "&amp;TEXT(Hedefler!$E$14,"0%")</f>
        <v>≤ 50%</v>
      </c>
      <c r="S3" s="9" t="str">
        <f aca="false">Hedefler!$D$15&amp;" "&amp;TEXT(Hedefler!$E$15,"0")</f>
        <v>≥ 0</v>
      </c>
      <c r="T3" s="9" t="str">
        <f aca="false">Hedefler!$D$16&amp;" "&amp;TEXT(Hedefler!$E$16,"0.00")</f>
        <v>≤ 0.30</v>
      </c>
      <c r="U3" s="9" t="str">
        <f aca="false">Hedefler!$D$17&amp;" "&amp;TEXT(Hedefler!$E$17,"0")</f>
        <v>≥ 90</v>
      </c>
      <c r="V3" s="9" t="str">
        <f aca="false">Hedefler!$D$18&amp;" "&amp;TEXT(Hedefler!$E$18,"0")</f>
        <v>≥ 85</v>
      </c>
      <c r="W3" s="9" t="str">
        <f aca="false">Hedefler!$D$19&amp;" "&amp;TEXT(Hedefler!$E$19,"0")</f>
        <v>≥ 90</v>
      </c>
    </row>
    <row r="4" customFormat="false" ht="4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  <c r="G4" s="10" t="s">
        <v>32</v>
      </c>
      <c r="H4" s="10" t="s">
        <v>33</v>
      </c>
      <c r="I4" s="10" t="s">
        <v>34</v>
      </c>
      <c r="J4" s="10" t="s">
        <v>35</v>
      </c>
      <c r="K4" s="10" t="s">
        <v>36</v>
      </c>
      <c r="L4" s="10" t="s">
        <v>37</v>
      </c>
      <c r="M4" s="10" t="s">
        <v>38</v>
      </c>
      <c r="N4" s="10" t="s">
        <v>39</v>
      </c>
      <c r="O4" s="10" t="s">
        <v>40</v>
      </c>
      <c r="P4" s="10" t="s">
        <v>41</v>
      </c>
      <c r="Q4" s="10" t="s">
        <v>42</v>
      </c>
      <c r="R4" s="10" t="s">
        <v>43</v>
      </c>
      <c r="S4" s="10" t="s">
        <v>44</v>
      </c>
      <c r="T4" s="10" t="s">
        <v>45</v>
      </c>
      <c r="U4" s="10" t="s">
        <v>46</v>
      </c>
      <c r="V4" s="10" t="s">
        <v>47</v>
      </c>
      <c r="W4" s="10" t="s">
        <v>48</v>
      </c>
      <c r="X4" s="10" t="s">
        <v>49</v>
      </c>
      <c r="Y4" s="10" t="s">
        <v>50</v>
      </c>
      <c r="Z4" s="10" t="s">
        <v>51</v>
      </c>
    </row>
    <row r="5" customFormat="false" ht="30" hidden="false" customHeight="true" outlineLevel="0" collapsed="false">
      <c r="A5" s="11" t="s">
        <v>52</v>
      </c>
      <c r="B5" s="11" t="s">
        <v>53</v>
      </c>
      <c r="C5" s="12" t="n">
        <f aca="false">IFERROR(INDEX(Satis!$D:$D,MATCH($B$1&amp;"|"&amp;$A5,Satis!$A:$A,0)),"")</f>
        <v>622</v>
      </c>
      <c r="D5" s="12" t="n">
        <f aca="false">IFERROR(INDEX(Satis!$F:$F,MATCH($B$1&amp;"|"&amp;$A5,Satis!$A:$A,0)),"")</f>
        <v>2416806</v>
      </c>
      <c r="E5" s="13" t="n">
        <f aca="false">IFERROR(INDEX(Satis!$F:$F,MATCH($B$1&amp;"|"&amp;$A5,Satis!$A:$A,0))/INDEX(Satis!$G:$G,MATCH($B$1&amp;"|"&amp;$A5,Satis!$A:$A,0))-1,"")</f>
        <v>0.0196960159046531</v>
      </c>
      <c r="F5" s="12" t="n">
        <f aca="false">IFERROR(INDEX(PnL!$K:$K,MATCH($B$1&amp;"|"&amp;$A5,PnL!$A:$A,0)),"")</f>
        <v>637710</v>
      </c>
      <c r="G5" s="13" t="n">
        <f aca="false">IFERROR((INDEX(PnL!$K:$K,MATCH($B$1&amp;"|"&amp;$A5,PnL!$A:$A,0))-INDEX(PnL!$L:$L,MATCH($B$1&amp;"|"&amp;$A5,PnL!$A:$A,0)))/ABS(INDEX(PnL!$L:$L,MATCH($B$1&amp;"|"&amp;$A5,PnL!$A:$A,0))),"")</f>
        <v>-0.0720978959927829</v>
      </c>
      <c r="H5" s="14" t="n">
        <f aca="false">IFERROR(INDEX(CRM!$G:$G,MATCH($B$1&amp;"|"&amp;$A5,CRM!$A:$A,0))/INDEX(CRM!$F:$F,MATCH($B$1&amp;"|"&amp;$A5,CRM!$A:$A,0)),"")</f>
        <v>0.162804688310341</v>
      </c>
      <c r="I5" s="14" t="n">
        <f aca="false">IFERROR((INDEX(Paket_Servis!$E:$E,MATCH($B$1&amp;"|"&amp;$A5,Paket_Servis!$A:$A,0))+INDEX(Paket_Servis!$G:$G,MATCH($B$1&amp;"|"&amp;$A5,Paket_Servis!$A:$A,0)))/(INDEX(Paket_Servis!$D:$D,MATCH($B$1&amp;"|"&amp;$A5,Paket_Servis!$A:$A,0))+INDEX(Paket_Servis!$F:$F,MATCH($B$1&amp;"|"&amp;$A5,Paket_Servis!$A:$A,0))),"")</f>
        <v>0.0515695067264574</v>
      </c>
      <c r="J5" s="14" t="n">
        <f aca="false">IFERROR(AVERAGE(INDEX(Paket_Servis!$H:$H,MATCH($B$1&amp;"|"&amp;$A5,Paket_Servis!$A:$A,0)),INDEX(Paket_Servis!$I:$I,MATCH($B$1&amp;"|"&amp;$A5,Paket_Servis!$A:$A,0))),"")</f>
        <v>0.9465</v>
      </c>
      <c r="K5" s="14" t="n">
        <f aca="false">IFERROR(INDEX(Paket_Servis!$J:$J,MATCH($B$1&amp;"|"&amp;$A5,Paket_Servis!$A:$A,0)),"")</f>
        <v>0.133</v>
      </c>
      <c r="L5" s="14" t="n">
        <f aca="false">IFERROR(INDEX(Urun_Karmasi!$E:$E,MATCH($B$1&amp;"|"&amp;$A5,Urun_Karmasi!$A:$A,0))/INDEX(Urun_Karmasi!$D:$D,MATCH($B$1&amp;"|"&amp;$A5,Urun_Karmasi!$A:$A,0)),"")</f>
        <v>0.217132039753904</v>
      </c>
      <c r="M5" s="14" t="n">
        <f aca="false">IFERROR(INDEX(Urun_Karmasi!$G:$G,MATCH($B$1&amp;"|"&amp;$A5,Urun_Karmasi!$A:$A,0))/INDEX(Urun_Karmasi!$F:$F,MATCH($B$1&amp;"|"&amp;$A5,Urun_Karmasi!$A:$A,0)),"")</f>
        <v>0.320857463912179</v>
      </c>
      <c r="N5" s="13" t="n">
        <f aca="false">IFERROR(M5-INDEX(Urun_Karmasi!$H:$H,MATCH($B$1&amp;"|"&amp;$A5,Urun_Karmasi!$A:$A,0)),"")</f>
        <v>0.0138574639121791</v>
      </c>
      <c r="O5" s="14" t="n">
        <f aca="false">IFERROR(INDEX(Fire_Envanter!$E:$E,MATCH($B$1&amp;"|"&amp;$A5,Fire_Envanter!$A:$A,0))/INDEX(Fire_Envanter!$D:$D,MATCH($B$1&amp;"|"&amp;$A5,Fire_Envanter!$A:$A,0)),"")</f>
        <v>0.0486089540064448</v>
      </c>
      <c r="P5" s="15" t="n">
        <f aca="false">IFERROR(INDEX(Fire_Envanter!$G:$G,MATCH($B$1&amp;"|"&amp;$A5,Fire_Envanter!$A:$A,0))/INDEX(Fire_Envanter!$F:$F,MATCH($B$1&amp;"|"&amp;$A5,Fire_Envanter!$A:$A,0)),"")</f>
        <v>-0.00143657296960896</v>
      </c>
      <c r="Q5" s="16" t="n">
        <f aca="false">IFERROR(INDEX(Egitim!$E:$E,MATCH($B$1&amp;"|"&amp;$A5,Egitim!$A:$A,0))/INDEX(Egitim!$D:$D,MATCH($B$1&amp;"|"&amp;$A5,Egitim!$A:$A,0)),"")</f>
        <v>1</v>
      </c>
      <c r="R5" s="16" t="n">
        <f aca="false">IFERROR(INDEX(Personel!$E:$E,MATCH($B$1&amp;"|"&amp;$A5,Personel!$A:$A,0))/INDEX(Personel!$D:$D,MATCH($B$1&amp;"|"&amp;$A5,Personel!$A:$A,0)),"")</f>
        <v>0.125</v>
      </c>
      <c r="S5" s="17" t="n">
        <f aca="false">IFERROR(INDEX(Kahve_Sohbeti!$E:$E,MATCH($B$1&amp;"|"&amp;$A5,Kahve_Sohbeti!$A:$A,0))-INDEX(Kahve_Sohbeti!$D:$D,MATCH($B$1&amp;"|"&amp;$A5,Kahve_Sohbeti!$A:$A,0))*0.2*2,"")</f>
        <v>-2.4</v>
      </c>
      <c r="T5" s="18" t="n">
        <f aca="false">IFERROR(INDEX(Sikayet!$E:$E,MATCH($B$1&amp;"|"&amp;$A5,Sikayet!$A:$A,0))/INDEX(Sikayet!$D:$D,MATCH($B$1&amp;"|"&amp;$A5,Sikayet!$A:$A,0))*1000,"")</f>
        <v>0.259309200290426</v>
      </c>
      <c r="U5" s="19" t="n">
        <f aca="false">IFERROR(INDEX(Denetim!$D:$D,MATCH($B$1&amp;"|"&amp;$A5,Denetim!$A:$A,0)),"")</f>
        <v>98</v>
      </c>
      <c r="V5" s="19" t="n">
        <f aca="false">IFERROR(INDEX(Denetim!$E:$E,MATCH($B$1&amp;"|"&amp;$A5,Denetim!$A:$A,0)),"")</f>
        <v>84</v>
      </c>
      <c r="W5" s="19" t="n">
        <f aca="false">IFERROR(INDEX(Denetim!$F:$F,MATCH($B$1&amp;"|"&amp;$A5,Denetim!$A:$A,0)),"")</f>
        <v>99</v>
      </c>
      <c r="X5" s="19" t="n">
        <f aca="false">INDEX(Performans_Puani!$S:$S,ROW())</f>
        <v>78</v>
      </c>
      <c r="Y5" s="20" t="n">
        <f aca="false">IFERROR(RANK(X5,$X$5:$X$12),"")</f>
        <v>1</v>
      </c>
      <c r="Z5" s="21" t="str">
        <f aca="false">IFERROR(INDEX(PnL!$M:$M,MATCH($B$1&amp;"|"&amp;$A5,PnL!$A:$A,0))&amp;"","")</f>
        <v>Kira farkı sözleşme yenilemesinden; emlak ekibine iletildi.</v>
      </c>
    </row>
    <row r="6" customFormat="false" ht="30" hidden="false" customHeight="true" outlineLevel="0" collapsed="false">
      <c r="A6" s="11" t="s">
        <v>54</v>
      </c>
      <c r="B6" s="11" t="s">
        <v>55</v>
      </c>
      <c r="C6" s="12" t="n">
        <f aca="false">IFERROR(INDEX(Satis!$D:$D,MATCH($B$1&amp;"|"&amp;$A6,Satis!$A:$A,0)),"")</f>
        <v>454</v>
      </c>
      <c r="D6" s="12" t="n">
        <f aca="false">IFERROR(INDEX(Satis!$F:$F,MATCH($B$1&amp;"|"&amp;$A6,Satis!$A:$A,0)),"")</f>
        <v>1823427</v>
      </c>
      <c r="E6" s="13" t="n">
        <f aca="false">IFERROR(INDEX(Satis!$F:$F,MATCH($B$1&amp;"|"&amp;$A6,Satis!$A:$A,0))/INDEX(Satis!$G:$G,MATCH($B$1&amp;"|"&amp;$A6,Satis!$A:$A,0))-1,"")</f>
        <v>-0.0021075063564493</v>
      </c>
      <c r="F6" s="12" t="n">
        <f aca="false">IFERROR(INDEX(PnL!$K:$K,MATCH($B$1&amp;"|"&amp;$A6,PnL!$A:$A,0)),"")</f>
        <v>668874</v>
      </c>
      <c r="G6" s="13" t="n">
        <f aca="false">IFERROR((INDEX(PnL!$K:$K,MATCH($B$1&amp;"|"&amp;$A6,PnL!$A:$A,0))-INDEX(PnL!$L:$L,MATCH($B$1&amp;"|"&amp;$A6,PnL!$A:$A,0)))/ABS(INDEX(PnL!$L:$L,MATCH($B$1&amp;"|"&amp;$A6,PnL!$A:$A,0))),"")</f>
        <v>0.057971633426813</v>
      </c>
      <c r="H6" s="14" t="n">
        <f aca="false">IFERROR(INDEX(CRM!$G:$G,MATCH($B$1&amp;"|"&amp;$A6,CRM!$A:$A,0))/INDEX(CRM!$F:$F,MATCH($B$1&amp;"|"&amp;$A6,CRM!$A:$A,0)),"")</f>
        <v>0.186866444033916</v>
      </c>
      <c r="I6" s="14" t="n">
        <f aca="false">IFERROR((INDEX(Paket_Servis!$E:$E,MATCH($B$1&amp;"|"&amp;$A6,Paket_Servis!$A:$A,0))+INDEX(Paket_Servis!$G:$G,MATCH($B$1&amp;"|"&amp;$A6,Paket_Servis!$A:$A,0)))/(INDEX(Paket_Servis!$D:$D,MATCH($B$1&amp;"|"&amp;$A6,Paket_Servis!$A:$A,0))+INDEX(Paket_Servis!$F:$F,MATCH($B$1&amp;"|"&amp;$A6,Paket_Servis!$A:$A,0))),"")</f>
        <v>0.0473282442748092</v>
      </c>
      <c r="J6" s="14" t="n">
        <f aca="false">IFERROR(AVERAGE(INDEX(Paket_Servis!$H:$H,MATCH($B$1&amp;"|"&amp;$A6,Paket_Servis!$A:$A,0)),INDEX(Paket_Servis!$I:$I,MATCH($B$1&amp;"|"&amp;$A6,Paket_Servis!$A:$A,0))),"")</f>
        <v>0.9155</v>
      </c>
      <c r="K6" s="14" t="n">
        <f aca="false">IFERROR(INDEX(Paket_Servis!$J:$J,MATCH($B$1&amp;"|"&amp;$A6,Paket_Servis!$A:$A,0)),"")</f>
        <v>0.128</v>
      </c>
      <c r="L6" s="14" t="n">
        <f aca="false">IFERROR(INDEX(Urun_Karmasi!$E:$E,MATCH($B$1&amp;"|"&amp;$A6,Urun_Karmasi!$A:$A,0))/INDEX(Urun_Karmasi!$D:$D,MATCH($B$1&amp;"|"&amp;$A6,Urun_Karmasi!$A:$A,0)),"")</f>
        <v>0.211744583808438</v>
      </c>
      <c r="M6" s="14" t="n">
        <f aca="false">IFERROR(INDEX(Urun_Karmasi!$G:$G,MATCH($B$1&amp;"|"&amp;$A6,Urun_Karmasi!$A:$A,0))/INDEX(Urun_Karmasi!$F:$F,MATCH($B$1&amp;"|"&amp;$A6,Urun_Karmasi!$A:$A,0)),"")</f>
        <v>0.305287465214045</v>
      </c>
      <c r="N6" s="13" t="n">
        <f aca="false">IFERROR(M6-INDEX(Urun_Karmasi!$H:$H,MATCH($B$1&amp;"|"&amp;$A6,Urun_Karmasi!$A:$A,0)),"")</f>
        <v>0.0202874652140447</v>
      </c>
      <c r="O6" s="14" t="n">
        <f aca="false">IFERROR(INDEX(Fire_Envanter!$E:$E,MATCH($B$1&amp;"|"&amp;$A6,Fire_Envanter!$A:$A,0))/INDEX(Fire_Envanter!$D:$D,MATCH($B$1&amp;"|"&amp;$A6,Fire_Envanter!$A:$A,0)),"")</f>
        <v>0.0411240190836153</v>
      </c>
      <c r="P6" s="15" t="n">
        <f aca="false">IFERROR(INDEX(Fire_Envanter!$G:$G,MATCH($B$1&amp;"|"&amp;$A6,Fire_Envanter!$A:$A,0))/INDEX(Fire_Envanter!$F:$F,MATCH($B$1&amp;"|"&amp;$A6,Fire_Envanter!$A:$A,0)),"")</f>
        <v>-0.00848076831983326</v>
      </c>
      <c r="Q6" s="16" t="n">
        <f aca="false">IFERROR(INDEX(Egitim!$E:$E,MATCH($B$1&amp;"|"&amp;$A6,Egitim!$A:$A,0))/INDEX(Egitim!$D:$D,MATCH($B$1&amp;"|"&amp;$A6,Egitim!$A:$A,0)),"")</f>
        <v>1</v>
      </c>
      <c r="R6" s="16" t="n">
        <f aca="false">IFERROR(INDEX(Personel!$E:$E,MATCH($B$1&amp;"|"&amp;$A6,Personel!$A:$A,0))/INDEX(Personel!$D:$D,MATCH($B$1&amp;"|"&amp;$A6,Personel!$A:$A,0)),"")</f>
        <v>0</v>
      </c>
      <c r="S6" s="17" t="n">
        <f aca="false">IFERROR(INDEX(Kahve_Sohbeti!$E:$E,MATCH($B$1&amp;"|"&amp;$A6,Kahve_Sohbeti!$A:$A,0))-INDEX(Kahve_Sohbeti!$D:$D,MATCH($B$1&amp;"|"&amp;$A6,Kahve_Sohbeti!$A:$A,0))*0.2*2,"")</f>
        <v>2.6</v>
      </c>
      <c r="T6" s="18" t="n">
        <f aca="false">IFERROR(INDEX(Sikayet!$E:$E,MATCH($B$1&amp;"|"&amp;$A6,Sikayet!$A:$A,0))/INDEX(Sikayet!$D:$D,MATCH($B$1&amp;"|"&amp;$A6,Sikayet!$A:$A,0))*1000,"")</f>
        <v>0.710530055421344</v>
      </c>
      <c r="U6" s="19" t="n">
        <f aca="false">IFERROR(INDEX(Denetim!$D:$D,MATCH($B$1&amp;"|"&amp;$A6,Denetim!$A:$A,0)),"")</f>
        <v>92</v>
      </c>
      <c r="V6" s="19" t="n">
        <f aca="false">IFERROR(INDEX(Denetim!$E:$E,MATCH($B$1&amp;"|"&amp;$A6,Denetim!$A:$A,0)),"")</f>
        <v>90</v>
      </c>
      <c r="W6" s="19" t="n">
        <f aca="false">IFERROR(INDEX(Denetim!$F:$F,MATCH($B$1&amp;"|"&amp;$A6,Denetim!$A:$A,0)),"")</f>
        <v>90</v>
      </c>
      <c r="X6" s="19" t="n">
        <f aca="false">INDEX(Performans_Puani!$S:$S,ROW())</f>
        <v>75</v>
      </c>
      <c r="Y6" s="20" t="n">
        <f aca="false">IFERROR(RANK(X6,$X$5:$X$12),"")</f>
        <v>3</v>
      </c>
      <c r="Z6" s="21" t="str">
        <f aca="false">IFERROR(INDEX(PnL!$M:$M,MATCH($B$1&amp;"|"&amp;$A6,PnL!$A:$A,0))&amp;"","")</f>
        <v>Kira farkı sözleşme yenilemesinden; emlak ekibine iletildi.</v>
      </c>
    </row>
    <row r="7" customFormat="false" ht="30" hidden="false" customHeight="true" outlineLevel="0" collapsed="false">
      <c r="A7" s="11" t="s">
        <v>56</v>
      </c>
      <c r="B7" s="11" t="s">
        <v>57</v>
      </c>
      <c r="C7" s="12" t="n">
        <f aca="false">IFERROR(INDEX(Satis!$D:$D,MATCH($B$1&amp;"|"&amp;$A7,Satis!$A:$A,0)),"")</f>
        <v>379</v>
      </c>
      <c r="D7" s="12" t="n">
        <f aca="false">IFERROR(INDEX(Satis!$F:$F,MATCH($B$1&amp;"|"&amp;$A7,Satis!$A:$A,0)),"")</f>
        <v>1403301</v>
      </c>
      <c r="E7" s="13" t="n">
        <f aca="false">IFERROR(INDEX(Satis!$F:$F,MATCH($B$1&amp;"|"&amp;$A7,Satis!$A:$A,0))/INDEX(Satis!$G:$G,MATCH($B$1&amp;"|"&amp;$A7,Satis!$A:$A,0))-1,"")</f>
        <v>-0.0344695434632885</v>
      </c>
      <c r="F7" s="12" t="n">
        <f aca="false">IFERROR(INDEX(PnL!$K:$K,MATCH($B$1&amp;"|"&amp;$A7,PnL!$A:$A,0)),"")</f>
        <v>447567</v>
      </c>
      <c r="G7" s="13" t="n">
        <f aca="false">IFERROR((INDEX(PnL!$K:$K,MATCH($B$1&amp;"|"&amp;$A7,PnL!$A:$A,0))-INDEX(PnL!$L:$L,MATCH($B$1&amp;"|"&amp;$A7,PnL!$A:$A,0)))/ABS(INDEX(PnL!$L:$L,MATCH($B$1&amp;"|"&amp;$A7,PnL!$A:$A,0))),"")</f>
        <v>0.097322199121293</v>
      </c>
      <c r="H7" s="14" t="n">
        <f aca="false">IFERROR(INDEX(CRM!$G:$G,MATCH($B$1&amp;"|"&amp;$A7,CRM!$A:$A,0))/INDEX(CRM!$F:$F,MATCH($B$1&amp;"|"&amp;$A7,CRM!$A:$A,0)),"")</f>
        <v>0.129640111215139</v>
      </c>
      <c r="I7" s="14" t="n">
        <f aca="false">IFERROR((INDEX(Paket_Servis!$E:$E,MATCH($B$1&amp;"|"&amp;$A7,Paket_Servis!$A:$A,0))+INDEX(Paket_Servis!$G:$G,MATCH($B$1&amp;"|"&amp;$A7,Paket_Servis!$A:$A,0)))/(INDEX(Paket_Servis!$D:$D,MATCH($B$1&amp;"|"&amp;$A7,Paket_Servis!$A:$A,0))+INDEX(Paket_Servis!$F:$F,MATCH($B$1&amp;"|"&amp;$A7,Paket_Servis!$A:$A,0))),"")</f>
        <v>0.0738498789346247</v>
      </c>
      <c r="J7" s="14" t="n">
        <f aca="false">IFERROR(AVERAGE(INDEX(Paket_Servis!$H:$H,MATCH($B$1&amp;"|"&amp;$A7,Paket_Servis!$A:$A,0)),INDEX(Paket_Servis!$I:$I,MATCH($B$1&amp;"|"&amp;$A7,Paket_Servis!$A:$A,0))),"")</f>
        <v>0.879</v>
      </c>
      <c r="K7" s="14" t="n">
        <f aca="false">IFERROR(INDEX(Paket_Servis!$J:$J,MATCH($B$1&amp;"|"&amp;$A7,Paket_Servis!$A:$A,0)),"")</f>
        <v>0.053</v>
      </c>
      <c r="L7" s="14" t="n">
        <f aca="false">IFERROR(INDEX(Urun_Karmasi!$E:$E,MATCH($B$1&amp;"|"&amp;$A7,Urun_Karmasi!$A:$A,0))/INDEX(Urun_Karmasi!$D:$D,MATCH($B$1&amp;"|"&amp;$A7,Urun_Karmasi!$A:$A,0)),"")</f>
        <v>0.230397505845674</v>
      </c>
      <c r="M7" s="14" t="n">
        <f aca="false">IFERROR(INDEX(Urun_Karmasi!$G:$G,MATCH($B$1&amp;"|"&amp;$A7,Urun_Karmasi!$A:$A,0))/INDEX(Urun_Karmasi!$F:$F,MATCH($B$1&amp;"|"&amp;$A7,Urun_Karmasi!$A:$A,0)),"")</f>
        <v>0.343570465990496</v>
      </c>
      <c r="N7" s="13" t="n">
        <f aca="false">IFERROR(M7-INDEX(Urun_Karmasi!$H:$H,MATCH($B$1&amp;"|"&amp;$A7,Urun_Karmasi!$A:$A,0)),"")</f>
        <v>-0.00342953400950419</v>
      </c>
      <c r="O7" s="14" t="n">
        <f aca="false">IFERROR(INDEX(Fire_Envanter!$E:$E,MATCH($B$1&amp;"|"&amp;$A7,Fire_Envanter!$A:$A,0))/INDEX(Fire_Envanter!$D:$D,MATCH($B$1&amp;"|"&amp;$A7,Fire_Envanter!$A:$A,0)),"")</f>
        <v>0.0463929644014874</v>
      </c>
      <c r="P7" s="15" t="n">
        <f aca="false">IFERROR(INDEX(Fire_Envanter!$G:$G,MATCH($B$1&amp;"|"&amp;$A7,Fire_Envanter!$A:$A,0))/INDEX(Fire_Envanter!$F:$F,MATCH($B$1&amp;"|"&amp;$A7,Fire_Envanter!$A:$A,0)),"")</f>
        <v>-0.000141856044486056</v>
      </c>
      <c r="Q7" s="16" t="n">
        <f aca="false">IFERROR(INDEX(Egitim!$E:$E,MATCH($B$1&amp;"|"&amp;$A7,Egitim!$A:$A,0))/INDEX(Egitim!$D:$D,MATCH($B$1&amp;"|"&amp;$A7,Egitim!$A:$A,0)),"")</f>
        <v>1</v>
      </c>
      <c r="R7" s="16" t="n">
        <f aca="false">IFERROR(INDEX(Personel!$E:$E,MATCH($B$1&amp;"|"&amp;$A7,Personel!$A:$A,0))/INDEX(Personel!$D:$D,MATCH($B$1&amp;"|"&amp;$A7,Personel!$A:$A,0)),"")</f>
        <v>0.111111111111111</v>
      </c>
      <c r="S7" s="17" t="n">
        <f aca="false">IFERROR(INDEX(Kahve_Sohbeti!$E:$E,MATCH($B$1&amp;"|"&amp;$A7,Kahve_Sohbeti!$A:$A,0))-INDEX(Kahve_Sohbeti!$D:$D,MATCH($B$1&amp;"|"&amp;$A7,Kahve_Sohbeti!$A:$A,0))*0.2*2,"")</f>
        <v>3.4</v>
      </c>
      <c r="T7" s="18" t="n">
        <f aca="false">IFERROR(INDEX(Sikayet!$E:$E,MATCH($B$1&amp;"|"&amp;$A7,Sikayet!$A:$A,0))/INDEX(Sikayet!$D:$D,MATCH($B$1&amp;"|"&amp;$A7,Sikayet!$A:$A,0))*1000,"")</f>
        <v>0</v>
      </c>
      <c r="U7" s="19" t="n">
        <f aca="false">IFERROR(INDEX(Denetim!$D:$D,MATCH($B$1&amp;"|"&amp;$A7,Denetim!$A:$A,0)),"")</f>
        <v>85</v>
      </c>
      <c r="V7" s="19" t="n">
        <f aca="false">IFERROR(INDEX(Denetim!$E:$E,MATCH($B$1&amp;"|"&amp;$A7,Denetim!$A:$A,0)),"")</f>
        <v>95</v>
      </c>
      <c r="W7" s="19" t="n">
        <f aca="false">IFERROR(INDEX(Denetim!$F:$F,MATCH($B$1&amp;"|"&amp;$A7,Denetim!$A:$A,0)),"")</f>
        <v>91</v>
      </c>
      <c r="X7" s="19" t="n">
        <f aca="false">INDEX(Performans_Puani!$S:$S,ROW())</f>
        <v>57</v>
      </c>
      <c r="Y7" s="20" t="n">
        <f aca="false">IFERROR(RANK(X7,$X$5:$X$12),"")</f>
        <v>6</v>
      </c>
      <c r="Z7" s="21" t="str">
        <f aca="false">IFERROR(INDEX(PnL!$M:$M,MATCH($B$1&amp;"|"&amp;$A7,PnL!$A:$A,0))&amp;"","")</f>
        <v/>
      </c>
    </row>
    <row r="8" customFormat="false" ht="30" hidden="false" customHeight="true" outlineLevel="0" collapsed="false">
      <c r="A8" s="11" t="s">
        <v>58</v>
      </c>
      <c r="B8" s="11" t="s">
        <v>59</v>
      </c>
      <c r="C8" s="12" t="n">
        <f aca="false">IFERROR(INDEX(Satis!$D:$D,MATCH($B$1&amp;"|"&amp;$A8,Satis!$A:$A,0)),"")</f>
        <v>773</v>
      </c>
      <c r="D8" s="12" t="n">
        <f aca="false">IFERROR(INDEX(Satis!$F:$F,MATCH($B$1&amp;"|"&amp;$A8,Satis!$A:$A,0)),"")</f>
        <v>3217033</v>
      </c>
      <c r="E8" s="13" t="n">
        <f aca="false">IFERROR(INDEX(Satis!$F:$F,MATCH($B$1&amp;"|"&amp;$A8,Satis!$A:$A,0))/INDEX(Satis!$G:$G,MATCH($B$1&amp;"|"&amp;$A8,Satis!$A:$A,0))-1,"")</f>
        <v>0.0713176539149982</v>
      </c>
      <c r="F8" s="12" t="n">
        <f aca="false">IFERROR(INDEX(PnL!$K:$K,MATCH($B$1&amp;"|"&amp;$A8,PnL!$A:$A,0)),"")</f>
        <v>1155158</v>
      </c>
      <c r="G8" s="13" t="n">
        <f aca="false">IFERROR((INDEX(PnL!$K:$K,MATCH($B$1&amp;"|"&amp;$A8,PnL!$A:$A,0))-INDEX(PnL!$L:$L,MATCH($B$1&amp;"|"&amp;$A8,PnL!$A:$A,0)))/ABS(INDEX(PnL!$L:$L,MATCH($B$1&amp;"|"&amp;$A8,PnL!$A:$A,0))),"")</f>
        <v>-0.0904217582301635</v>
      </c>
      <c r="H8" s="14" t="n">
        <f aca="false">IFERROR(INDEX(CRM!$G:$G,MATCH($B$1&amp;"|"&amp;$A8,CRM!$A:$A,0))/INDEX(CRM!$F:$F,MATCH($B$1&amp;"|"&amp;$A8,CRM!$A:$A,0)),"")</f>
        <v>0.113198124886979</v>
      </c>
      <c r="I8" s="14" t="n">
        <f aca="false">IFERROR((INDEX(Paket_Servis!$E:$E,MATCH($B$1&amp;"|"&amp;$A8,Paket_Servis!$A:$A,0))+INDEX(Paket_Servis!$G:$G,MATCH($B$1&amp;"|"&amp;$A8,Paket_Servis!$A:$A,0)))/(INDEX(Paket_Servis!$D:$D,MATCH($B$1&amp;"|"&amp;$A8,Paket_Servis!$A:$A,0))+INDEX(Paket_Servis!$F:$F,MATCH($B$1&amp;"|"&amp;$A8,Paket_Servis!$A:$A,0))),"")</f>
        <v>0.054176072234763</v>
      </c>
      <c r="J8" s="14" t="n">
        <f aca="false">IFERROR(AVERAGE(INDEX(Paket_Servis!$H:$H,MATCH($B$1&amp;"|"&amp;$A8,Paket_Servis!$A:$A,0)),INDEX(Paket_Servis!$I:$I,MATCH($B$1&amp;"|"&amp;$A8,Paket_Servis!$A:$A,0))),"")</f>
        <v>0.943</v>
      </c>
      <c r="K8" s="14" t="n">
        <f aca="false">IFERROR(INDEX(Paket_Servis!$J:$J,MATCH($B$1&amp;"|"&amp;$A8,Paket_Servis!$A:$A,0)),"")</f>
        <v>0.118</v>
      </c>
      <c r="L8" s="14" t="n">
        <f aca="false">IFERROR(INDEX(Urun_Karmasi!$E:$E,MATCH($B$1&amp;"|"&amp;$A8,Urun_Karmasi!$A:$A,0))/INDEX(Urun_Karmasi!$D:$D,MATCH($B$1&amp;"|"&amp;$A8,Urun_Karmasi!$A:$A,0)),"")</f>
        <v>0.158418172188548</v>
      </c>
      <c r="M8" s="14" t="n">
        <f aca="false">IFERROR(INDEX(Urun_Karmasi!$G:$G,MATCH($B$1&amp;"|"&amp;$A8,Urun_Karmasi!$A:$A,0))/INDEX(Urun_Karmasi!$F:$F,MATCH($B$1&amp;"|"&amp;$A8,Urun_Karmasi!$A:$A,0)),"")</f>
        <v>0.331652524690499</v>
      </c>
      <c r="N8" s="13" t="n">
        <f aca="false">IFERROR(M8-INDEX(Urun_Karmasi!$H:$H,MATCH($B$1&amp;"|"&amp;$A8,Urun_Karmasi!$A:$A,0)),"")</f>
        <v>-0.0183474753095006</v>
      </c>
      <c r="O8" s="14" t="n">
        <f aca="false">IFERROR(INDEX(Fire_Envanter!$E:$E,MATCH($B$1&amp;"|"&amp;$A8,Fire_Envanter!$A:$A,0))/INDEX(Fire_Envanter!$D:$D,MATCH($B$1&amp;"|"&amp;$A8,Fire_Envanter!$A:$A,0)),"")</f>
        <v>0.0592762069658509</v>
      </c>
      <c r="P8" s="15" t="n">
        <f aca="false">IFERROR(INDEX(Fire_Envanter!$G:$G,MATCH($B$1&amp;"|"&amp;$A8,Fire_Envanter!$A:$A,0))/INDEX(Fire_Envanter!$F:$F,MATCH($B$1&amp;"|"&amp;$A8,Fire_Envanter!$A:$A,0)),"")</f>
        <v>-0.00562916440623739</v>
      </c>
      <c r="Q8" s="16" t="n">
        <f aca="false">IFERROR(INDEX(Egitim!$E:$E,MATCH($B$1&amp;"|"&amp;$A8,Egitim!$A:$A,0))/INDEX(Egitim!$D:$D,MATCH($B$1&amp;"|"&amp;$A8,Egitim!$A:$A,0)),"")</f>
        <v>0.944444444444444</v>
      </c>
      <c r="R8" s="16" t="n">
        <f aca="false">IFERROR(INDEX(Personel!$E:$E,MATCH($B$1&amp;"|"&amp;$A8,Personel!$A:$A,0))/INDEX(Personel!$D:$D,MATCH($B$1&amp;"|"&amp;$A8,Personel!$A:$A,0)),"")</f>
        <v>0.210526315789474</v>
      </c>
      <c r="S8" s="17" t="n">
        <f aca="false">IFERROR(INDEX(Kahve_Sohbeti!$E:$E,MATCH($B$1&amp;"|"&amp;$A8,Kahve_Sohbeti!$A:$A,0))-INDEX(Kahve_Sohbeti!$D:$D,MATCH($B$1&amp;"|"&amp;$A8,Kahve_Sohbeti!$A:$A,0))*0.2*2,"")</f>
        <v>3.4</v>
      </c>
      <c r="T8" s="18" t="n">
        <f aca="false">IFERROR(INDEX(Sikayet!$E:$E,MATCH($B$1&amp;"|"&amp;$A8,Sikayet!$A:$A,0))/INDEX(Sikayet!$D:$D,MATCH($B$1&amp;"|"&amp;$A8,Sikayet!$A:$A,0))*1000,"")</f>
        <v>0.375579017652214</v>
      </c>
      <c r="U8" s="19" t="n">
        <f aca="false">IFERROR(INDEX(Denetim!$D:$D,MATCH($B$1&amp;"|"&amp;$A8,Denetim!$A:$A,0)),"")</f>
        <v>89</v>
      </c>
      <c r="V8" s="19" t="n">
        <f aca="false">IFERROR(INDEX(Denetim!$E:$E,MATCH($B$1&amp;"|"&amp;$A8,Denetim!$A:$A,0)),"")</f>
        <v>81</v>
      </c>
      <c r="W8" s="19" t="n">
        <f aca="false">IFERROR(INDEX(Denetim!$F:$F,MATCH($B$1&amp;"|"&amp;$A8,Denetim!$A:$A,0)),"")</f>
        <v>86</v>
      </c>
      <c r="X8" s="19" t="n">
        <f aca="false">INDEX(Performans_Puani!$S:$S,ROW())</f>
        <v>41</v>
      </c>
      <c r="Y8" s="20" t="n">
        <f aca="false">IFERROR(RANK(X8,$X$5:$X$12),"")</f>
        <v>7</v>
      </c>
      <c r="Z8" s="21" t="str">
        <f aca="false">IFERROR(INDEX(PnL!$M:$M,MATCH($B$1&amp;"|"&amp;$A8,PnL!$A:$A,0))&amp;"","")</f>
        <v>Satış bütçenin altında kaldı; mağaza katkısı bundan etkilendi, diğer kalemler stabil.</v>
      </c>
    </row>
    <row r="9" customFormat="false" ht="30" hidden="false" customHeight="true" outlineLevel="0" collapsed="false">
      <c r="A9" s="11" t="s">
        <v>60</v>
      </c>
      <c r="B9" s="11" t="s">
        <v>61</v>
      </c>
      <c r="C9" s="12" t="n">
        <f aca="false">IFERROR(INDEX(Satis!$D:$D,MATCH($B$1&amp;"|"&amp;$A9,Satis!$A:$A,0)),"")</f>
        <v>595</v>
      </c>
      <c r="D9" s="12" t="n">
        <f aca="false">IFERROR(INDEX(Satis!$F:$F,MATCH($B$1&amp;"|"&amp;$A9,Satis!$A:$A,0)),"")</f>
        <v>2404306</v>
      </c>
      <c r="E9" s="13" t="n">
        <f aca="false">IFERROR(INDEX(Satis!$F:$F,MATCH($B$1&amp;"|"&amp;$A9,Satis!$A:$A,0))/INDEX(Satis!$G:$G,MATCH($B$1&amp;"|"&amp;$A9,Satis!$A:$A,0))-1,"")</f>
        <v>0.0721442519378859</v>
      </c>
      <c r="F9" s="12" t="n">
        <f aca="false">IFERROR(INDEX(PnL!$K:$K,MATCH($B$1&amp;"|"&amp;$A9,PnL!$A:$A,0)),"")</f>
        <v>766862</v>
      </c>
      <c r="G9" s="13" t="n">
        <f aca="false">IFERROR((INDEX(PnL!$K:$K,MATCH($B$1&amp;"|"&amp;$A9,PnL!$A:$A,0))-INDEX(PnL!$L:$L,MATCH($B$1&amp;"|"&amp;$A9,PnL!$A:$A,0)))/ABS(INDEX(PnL!$L:$L,MATCH($B$1&amp;"|"&amp;$A9,PnL!$A:$A,0))),"")</f>
        <v>0.0661463344103303</v>
      </c>
      <c r="H9" s="14" t="n">
        <f aca="false">IFERROR(INDEX(CRM!$G:$G,MATCH($B$1&amp;"|"&amp;$A9,CRM!$A:$A,0))/INDEX(CRM!$F:$F,MATCH($B$1&amp;"|"&amp;$A9,CRM!$A:$A,0)),"")</f>
        <v>0.120915333875486</v>
      </c>
      <c r="I9" s="14" t="n">
        <f aca="false">IFERROR((INDEX(Paket_Servis!$E:$E,MATCH($B$1&amp;"|"&amp;$A9,Paket_Servis!$A:$A,0))+INDEX(Paket_Servis!$G:$G,MATCH($B$1&amp;"|"&amp;$A9,Paket_Servis!$A:$A,0)))/(INDEX(Paket_Servis!$D:$D,MATCH($B$1&amp;"|"&amp;$A9,Paket_Servis!$A:$A,0))+INDEX(Paket_Servis!$F:$F,MATCH($B$1&amp;"|"&amp;$A9,Paket_Servis!$A:$A,0))),"")</f>
        <v>0.0529500756429652</v>
      </c>
      <c r="J9" s="14" t="n">
        <f aca="false">IFERROR(AVERAGE(INDEX(Paket_Servis!$H:$H,MATCH($B$1&amp;"|"&amp;$A9,Paket_Servis!$A:$A,0)),INDEX(Paket_Servis!$I:$I,MATCH($B$1&amp;"|"&amp;$A9,Paket_Servis!$A:$A,0))),"")</f>
        <v>0.9015</v>
      </c>
      <c r="K9" s="14" t="n">
        <f aca="false">IFERROR(INDEX(Paket_Servis!$J:$J,MATCH($B$1&amp;"|"&amp;$A9,Paket_Servis!$A:$A,0)),"")</f>
        <v>0.159</v>
      </c>
      <c r="L9" s="14" t="n">
        <f aca="false">IFERROR(INDEX(Urun_Karmasi!$E:$E,MATCH($B$1&amp;"|"&amp;$A9,Urun_Karmasi!$A:$A,0))/INDEX(Urun_Karmasi!$D:$D,MATCH($B$1&amp;"|"&amp;$A9,Urun_Karmasi!$A:$A,0)),"")</f>
        <v>0.211961815702318</v>
      </c>
      <c r="M9" s="14" t="n">
        <f aca="false">IFERROR(INDEX(Urun_Karmasi!$G:$G,MATCH($B$1&amp;"|"&amp;$A9,Urun_Karmasi!$A:$A,0))/INDEX(Urun_Karmasi!$F:$F,MATCH($B$1&amp;"|"&amp;$A9,Urun_Karmasi!$A:$A,0)),"")</f>
        <v>0.307129303334237</v>
      </c>
      <c r="N9" s="13" t="n">
        <f aca="false">IFERROR(M9-INDEX(Urun_Karmasi!$H:$H,MATCH($B$1&amp;"|"&amp;$A9,Urun_Karmasi!$A:$A,0)),"")</f>
        <v>-0.00887069666576307</v>
      </c>
      <c r="O9" s="14" t="n">
        <f aca="false">IFERROR(INDEX(Fire_Envanter!$E:$E,MATCH($B$1&amp;"|"&amp;$A9,Fire_Envanter!$A:$A,0))/INDEX(Fire_Envanter!$D:$D,MATCH($B$1&amp;"|"&amp;$A9,Fire_Envanter!$A:$A,0)),"")</f>
        <v>0.0698627252920902</v>
      </c>
      <c r="P9" s="15" t="n">
        <f aca="false">IFERROR(INDEX(Fire_Envanter!$G:$G,MATCH($B$1&amp;"|"&amp;$A9,Fire_Envanter!$A:$A,0))/INDEX(Fire_Envanter!$F:$F,MATCH($B$1&amp;"|"&amp;$A9,Fire_Envanter!$A:$A,0)),"")</f>
        <v>-0.00544456492274329</v>
      </c>
      <c r="Q9" s="16" t="n">
        <f aca="false">IFERROR(INDEX(Egitim!$E:$E,MATCH($B$1&amp;"|"&amp;$A9,Egitim!$A:$A,0))/INDEX(Egitim!$D:$D,MATCH($B$1&amp;"|"&amp;$A9,Egitim!$A:$A,0)),"")</f>
        <v>0.882352941176471</v>
      </c>
      <c r="R9" s="16" t="n">
        <f aca="false">IFERROR(INDEX(Personel!$E:$E,MATCH($B$1&amp;"|"&amp;$A9,Personel!$A:$A,0))/INDEX(Personel!$D:$D,MATCH($B$1&amp;"|"&amp;$A9,Personel!$A:$A,0)),"")</f>
        <v>0</v>
      </c>
      <c r="S9" s="17" t="n">
        <f aca="false">IFERROR(INDEX(Kahve_Sohbeti!$E:$E,MATCH($B$1&amp;"|"&amp;$A9,Kahve_Sohbeti!$A:$A,0))-INDEX(Kahve_Sohbeti!$D:$D,MATCH($B$1&amp;"|"&amp;$A9,Kahve_Sohbeti!$A:$A,0))*0.2*2,"")</f>
        <v>-1.2</v>
      </c>
      <c r="T9" s="18" t="n">
        <f aca="false">IFERROR(INDEX(Sikayet!$E:$E,MATCH($B$1&amp;"|"&amp;$A9,Sikayet!$A:$A,0))/INDEX(Sikayet!$D:$D,MATCH($B$1&amp;"|"&amp;$A9,Sikayet!$A:$A,0))*1000,"")</f>
        <v>0.216860937923557</v>
      </c>
      <c r="U9" s="19" t="n">
        <f aca="false">IFERROR(INDEX(Denetim!$D:$D,MATCH($B$1&amp;"|"&amp;$A9,Denetim!$A:$A,0)),"")</f>
        <v>91</v>
      </c>
      <c r="V9" s="19" t="n">
        <f aca="false">IFERROR(INDEX(Denetim!$E:$E,MATCH($B$1&amp;"|"&amp;$A9,Denetim!$A:$A,0)),"")</f>
        <v>87</v>
      </c>
      <c r="W9" s="19" t="n">
        <f aca="false">IFERROR(INDEX(Denetim!$F:$F,MATCH($B$1&amp;"|"&amp;$A9,Denetim!$A:$A,0)),"")</f>
        <v>88</v>
      </c>
      <c r="X9" s="19" t="n">
        <f aca="false">INDEX(Performans_Puani!$S:$S,ROW())</f>
        <v>67</v>
      </c>
      <c r="Y9" s="20" t="n">
        <f aca="false">IFERROR(RANK(X9,$X$5:$X$12),"")</f>
        <v>4</v>
      </c>
      <c r="Z9" s="21" t="str">
        <f aca="false">IFERROR(INDEX(PnL!$M:$M,MATCH($B$1&amp;"|"&amp;$A9,PnL!$A:$A,0))&amp;"","")</f>
        <v>Satış bütçenin altında kaldı; mağaza katkısı bundan etkilendi, diğer kalemler stabil.</v>
      </c>
    </row>
    <row r="10" customFormat="false" ht="30" hidden="false" customHeight="true" outlineLevel="0" collapsed="false">
      <c r="A10" s="11" t="s">
        <v>62</v>
      </c>
      <c r="B10" s="11" t="s">
        <v>53</v>
      </c>
      <c r="C10" s="12" t="n">
        <f aca="false">IFERROR(INDEX(Satis!$D:$D,MATCH($B$1&amp;"|"&amp;$A10,Satis!$A:$A,0)),"")</f>
        <v>544</v>
      </c>
      <c r="D10" s="12" t="n">
        <f aca="false">IFERROR(INDEX(Satis!$F:$F,MATCH($B$1&amp;"|"&amp;$A10,Satis!$A:$A,0)),"")</f>
        <v>1956055</v>
      </c>
      <c r="E10" s="13" t="n">
        <f aca="false">IFERROR(INDEX(Satis!$F:$F,MATCH($B$1&amp;"|"&amp;$A10,Satis!$A:$A,0))/INDEX(Satis!$G:$G,MATCH($B$1&amp;"|"&amp;$A10,Satis!$A:$A,0))-1,"")</f>
        <v>-0.0165008022131127</v>
      </c>
      <c r="F10" s="12" t="n">
        <f aca="false">IFERROR(INDEX(PnL!$K:$K,MATCH($B$1&amp;"|"&amp;$A10,PnL!$A:$A,0)),"")</f>
        <v>662937</v>
      </c>
      <c r="G10" s="13" t="n">
        <f aca="false">IFERROR((INDEX(PnL!$K:$K,MATCH($B$1&amp;"|"&amp;$A10,PnL!$A:$A,0))-INDEX(PnL!$L:$L,MATCH($B$1&amp;"|"&amp;$A10,PnL!$A:$A,0)))/ABS(INDEX(PnL!$L:$L,MATCH($B$1&amp;"|"&amp;$A10,PnL!$A:$A,0))),"")</f>
        <v>-0.0279758422444015</v>
      </c>
      <c r="H10" s="14" t="n">
        <f aca="false">IFERROR(INDEX(CRM!$G:$G,MATCH($B$1&amp;"|"&amp;$A10,CRM!$A:$A,0))/INDEX(CRM!$F:$F,MATCH($B$1&amp;"|"&amp;$A10,CRM!$A:$A,0)),"")</f>
        <v>0.141390931372549</v>
      </c>
      <c r="I10" s="14" t="n">
        <f aca="false">IFERROR((INDEX(Paket_Servis!$E:$E,MATCH($B$1&amp;"|"&amp;$A10,Paket_Servis!$A:$A,0))+INDEX(Paket_Servis!$G:$G,MATCH($B$1&amp;"|"&amp;$A10,Paket_Servis!$A:$A,0)))/(INDEX(Paket_Servis!$D:$D,MATCH($B$1&amp;"|"&amp;$A10,Paket_Servis!$A:$A,0))+INDEX(Paket_Servis!$F:$F,MATCH($B$1&amp;"|"&amp;$A10,Paket_Servis!$A:$A,0))),"")</f>
        <v>0.0775075987841945</v>
      </c>
      <c r="J10" s="14" t="n">
        <f aca="false">IFERROR(AVERAGE(INDEX(Paket_Servis!$H:$H,MATCH($B$1&amp;"|"&amp;$A10,Paket_Servis!$A:$A,0)),INDEX(Paket_Servis!$I:$I,MATCH($B$1&amp;"|"&amp;$A10,Paket_Servis!$A:$A,0))),"")</f>
        <v>0.9555</v>
      </c>
      <c r="K10" s="14" t="n">
        <f aca="false">IFERROR(INDEX(Paket_Servis!$J:$J,MATCH($B$1&amp;"|"&amp;$A10,Paket_Servis!$A:$A,0)),"")</f>
        <v>0.063</v>
      </c>
      <c r="L10" s="14" t="n">
        <f aca="false">IFERROR(INDEX(Urun_Karmasi!$E:$E,MATCH($B$1&amp;"|"&amp;$A10,Urun_Karmasi!$A:$A,0))/INDEX(Urun_Karmasi!$D:$D,MATCH($B$1&amp;"|"&amp;$A10,Urun_Karmasi!$A:$A,0)),"")</f>
        <v>0.13572572289724</v>
      </c>
      <c r="M10" s="14" t="n">
        <f aca="false">IFERROR(INDEX(Urun_Karmasi!$G:$G,MATCH($B$1&amp;"|"&amp;$A10,Urun_Karmasi!$A:$A,0))/INDEX(Urun_Karmasi!$F:$F,MATCH($B$1&amp;"|"&amp;$A10,Urun_Karmasi!$A:$A,0)),"")</f>
        <v>0.338143005386174</v>
      </c>
      <c r="N10" s="13" t="n">
        <f aca="false">IFERROR(M10-INDEX(Urun_Karmasi!$H:$H,MATCH($B$1&amp;"|"&amp;$A10,Urun_Karmasi!$A:$A,0)),"")</f>
        <v>-0.0198569946138261</v>
      </c>
      <c r="O10" s="14" t="n">
        <f aca="false">IFERROR(INDEX(Fire_Envanter!$E:$E,MATCH($B$1&amp;"|"&amp;$A10,Fire_Envanter!$A:$A,0))/INDEX(Fire_Envanter!$D:$D,MATCH($B$1&amp;"|"&amp;$A10,Fire_Envanter!$A:$A,0)),"")</f>
        <v>0.0725445070353974</v>
      </c>
      <c r="P10" s="15" t="n">
        <f aca="false">IFERROR(INDEX(Fire_Envanter!$G:$G,MATCH($B$1&amp;"|"&amp;$A10,Fire_Envanter!$A:$A,0))/INDEX(Fire_Envanter!$F:$F,MATCH($B$1&amp;"|"&amp;$A10,Fire_Envanter!$A:$A,0)),"")</f>
        <v>-0.000871679316888046</v>
      </c>
      <c r="Q10" s="16" t="n">
        <f aca="false">IFERROR(INDEX(Egitim!$E:$E,MATCH($B$1&amp;"|"&amp;$A10,Egitim!$A:$A,0))/INDEX(Egitim!$D:$D,MATCH($B$1&amp;"|"&amp;$A10,Egitim!$A:$A,0)),"")</f>
        <v>1</v>
      </c>
      <c r="R10" s="16" t="n">
        <f aca="false">IFERROR(INDEX(Personel!$E:$E,MATCH($B$1&amp;"|"&amp;$A10,Personel!$A:$A,0))/INDEX(Personel!$D:$D,MATCH($B$1&amp;"|"&amp;$A10,Personel!$A:$A,0)),"")</f>
        <v>0.166666666666667</v>
      </c>
      <c r="S10" s="17" t="n">
        <f aca="false">IFERROR(INDEX(Kahve_Sohbeti!$E:$E,MATCH($B$1&amp;"|"&amp;$A10,Kahve_Sohbeti!$A:$A,0))-INDEX(Kahve_Sohbeti!$D:$D,MATCH($B$1&amp;"|"&amp;$A10,Kahve_Sohbeti!$A:$A,0))*0.2*2,"")</f>
        <v>0.199999999999999</v>
      </c>
      <c r="T10" s="18" t="n">
        <f aca="false">IFERROR(INDEX(Sikayet!$E:$E,MATCH($B$1&amp;"|"&amp;$A10,Sikayet!$A:$A,0))/INDEX(Sikayet!$D:$D,MATCH($B$1&amp;"|"&amp;$A10,Sikayet!$A:$A,0))*1000,"")</f>
        <v>0.47438330170778</v>
      </c>
      <c r="U10" s="19" t="n">
        <f aca="false">IFERROR(INDEX(Denetim!$D:$D,MATCH($B$1&amp;"|"&amp;$A10,Denetim!$A:$A,0)),"")</f>
        <v>84</v>
      </c>
      <c r="V10" s="19" t="n">
        <f aca="false">IFERROR(INDEX(Denetim!$E:$E,MATCH($B$1&amp;"|"&amp;$A10,Denetim!$A:$A,0)),"")</f>
        <v>83</v>
      </c>
      <c r="W10" s="19" t="n">
        <f aca="false">IFERROR(INDEX(Denetim!$F:$F,MATCH($B$1&amp;"|"&amp;$A10,Denetim!$A:$A,0)),"")</f>
        <v>82</v>
      </c>
      <c r="X10" s="19" t="n">
        <f aca="false">INDEX(Performans_Puani!$S:$S,ROW())</f>
        <v>41</v>
      </c>
      <c r="Y10" s="20" t="n">
        <f aca="false">IFERROR(RANK(X10,$X$5:$X$12),"")</f>
        <v>7</v>
      </c>
      <c r="Z10" s="21" t="str">
        <f aca="false">IFERROR(INDEX(PnL!$M:$M,MATCH($B$1&amp;"|"&amp;$A10,PnL!$A:$A,0))&amp;"","")</f>
        <v/>
      </c>
    </row>
    <row r="11" customFormat="false" ht="30" hidden="false" customHeight="true" outlineLevel="0" collapsed="false">
      <c r="A11" s="11" t="s">
        <v>63</v>
      </c>
      <c r="B11" s="11" t="s">
        <v>55</v>
      </c>
      <c r="C11" s="12" t="n">
        <f aca="false">IFERROR(INDEX(Satis!$D:$D,MATCH($B$1&amp;"|"&amp;$A11,Satis!$A:$A,0)),"")</f>
        <v>383</v>
      </c>
      <c r="D11" s="12" t="n">
        <f aca="false">IFERROR(INDEX(Satis!$F:$F,MATCH($B$1&amp;"|"&amp;$A11,Satis!$A:$A,0)),"")</f>
        <v>1263287</v>
      </c>
      <c r="E11" s="13" t="n">
        <f aca="false">IFERROR(INDEX(Satis!$F:$F,MATCH($B$1&amp;"|"&amp;$A11,Satis!$A:$A,0))/INDEX(Satis!$G:$G,MATCH($B$1&amp;"|"&amp;$A11,Satis!$A:$A,0))-1,"")</f>
        <v>0.0447814148899217</v>
      </c>
      <c r="F11" s="12" t="n">
        <f aca="false">IFERROR(INDEX(PnL!$K:$K,MATCH($B$1&amp;"|"&amp;$A11,PnL!$A:$A,0)),"")</f>
        <v>479964</v>
      </c>
      <c r="G11" s="13" t="n">
        <f aca="false">IFERROR((INDEX(PnL!$K:$K,MATCH($B$1&amp;"|"&amp;$A11,PnL!$A:$A,0))-INDEX(PnL!$L:$L,MATCH($B$1&amp;"|"&amp;$A11,PnL!$A:$A,0)))/ABS(INDEX(PnL!$L:$L,MATCH($B$1&amp;"|"&amp;$A11,PnL!$A:$A,0))),"")</f>
        <v>0.0367467901639911</v>
      </c>
      <c r="H11" s="14" t="n">
        <f aca="false">IFERROR(INDEX(CRM!$G:$G,MATCH($B$1&amp;"|"&amp;$A11,CRM!$A:$A,0))/INDEX(CRM!$F:$F,MATCH($B$1&amp;"|"&amp;$A11,CRM!$A:$A,0)),"")</f>
        <v>0.14842359414919</v>
      </c>
      <c r="I11" s="14" t="n">
        <f aca="false">IFERROR((INDEX(Paket_Servis!$E:$E,MATCH($B$1&amp;"|"&amp;$A11,Paket_Servis!$A:$A,0))+INDEX(Paket_Servis!$G:$G,MATCH($B$1&amp;"|"&amp;$A11,Paket_Servis!$A:$A,0)))/(INDEX(Paket_Servis!$D:$D,MATCH($B$1&amp;"|"&amp;$A11,Paket_Servis!$A:$A,0))+INDEX(Paket_Servis!$F:$F,MATCH($B$1&amp;"|"&amp;$A11,Paket_Servis!$A:$A,0))),"")</f>
        <v>0.0636474908200734</v>
      </c>
      <c r="J11" s="14" t="n">
        <f aca="false">IFERROR(AVERAGE(INDEX(Paket_Servis!$H:$H,MATCH($B$1&amp;"|"&amp;$A11,Paket_Servis!$A:$A,0)),INDEX(Paket_Servis!$I:$I,MATCH($B$1&amp;"|"&amp;$A11,Paket_Servis!$A:$A,0))),"")</f>
        <v>0.9135</v>
      </c>
      <c r="K11" s="14" t="n">
        <f aca="false">IFERROR(INDEX(Paket_Servis!$J:$J,MATCH($B$1&amp;"|"&amp;$A11,Paket_Servis!$A:$A,0)),"")</f>
        <v>0.085</v>
      </c>
      <c r="L11" s="14" t="n">
        <f aca="false">IFERROR(INDEX(Urun_Karmasi!$E:$E,MATCH($B$1&amp;"|"&amp;$A11,Urun_Karmasi!$A:$A,0))/INDEX(Urun_Karmasi!$D:$D,MATCH($B$1&amp;"|"&amp;$A11,Urun_Karmasi!$A:$A,0)),"")</f>
        <v>0.235030549898167</v>
      </c>
      <c r="M11" s="14" t="n">
        <f aca="false">IFERROR(INDEX(Urun_Karmasi!$G:$G,MATCH($B$1&amp;"|"&amp;$A11,Urun_Karmasi!$A:$A,0))/INDEX(Urun_Karmasi!$F:$F,MATCH($B$1&amp;"|"&amp;$A11,Urun_Karmasi!$A:$A,0)),"")</f>
        <v>0.324045480067378</v>
      </c>
      <c r="N11" s="13" t="n">
        <f aca="false">IFERROR(M11-INDEX(Urun_Karmasi!$H:$H,MATCH($B$1&amp;"|"&amp;$A11,Urun_Karmasi!$A:$A,0)),"")</f>
        <v>-0.0269545199326221</v>
      </c>
      <c r="O11" s="14" t="n">
        <f aca="false">IFERROR(INDEX(Fire_Envanter!$E:$E,MATCH($B$1&amp;"|"&amp;$A11,Fire_Envanter!$A:$A,0))/INDEX(Fire_Envanter!$D:$D,MATCH($B$1&amp;"|"&amp;$A11,Fire_Envanter!$A:$A,0)),"")</f>
        <v>0.0473008365557935</v>
      </c>
      <c r="P11" s="15" t="n">
        <f aca="false">IFERROR(INDEX(Fire_Envanter!$G:$G,MATCH($B$1&amp;"|"&amp;$A11,Fire_Envanter!$A:$A,0))/INDEX(Fire_Envanter!$F:$F,MATCH($B$1&amp;"|"&amp;$A11,Fire_Envanter!$A:$A,0)),"")</f>
        <v>0.00166484179791684</v>
      </c>
      <c r="Q11" s="16" t="n">
        <f aca="false">IFERROR(INDEX(Egitim!$E:$E,MATCH($B$1&amp;"|"&amp;$A11,Egitim!$A:$A,0))/INDEX(Egitim!$D:$D,MATCH($B$1&amp;"|"&amp;$A11,Egitim!$A:$A,0)),"")</f>
        <v>0.916666666666667</v>
      </c>
      <c r="R11" s="16" t="n">
        <f aca="false">IFERROR(INDEX(Personel!$E:$E,MATCH($B$1&amp;"|"&amp;$A11,Personel!$A:$A,0))/INDEX(Personel!$D:$D,MATCH($B$1&amp;"|"&amp;$A11,Personel!$A:$A,0)),"")</f>
        <v>0.5</v>
      </c>
      <c r="S11" s="17" t="n">
        <f aca="false">IFERROR(INDEX(Kahve_Sohbeti!$E:$E,MATCH($B$1&amp;"|"&amp;$A11,Kahve_Sohbeti!$A:$A,0))-INDEX(Kahve_Sohbeti!$D:$D,MATCH($B$1&amp;"|"&amp;$A11,Kahve_Sohbeti!$A:$A,0))*0.2*2,"")</f>
        <v>2</v>
      </c>
      <c r="T11" s="18" t="n">
        <f aca="false">IFERROR(INDEX(Sikayet!$E:$E,MATCH($B$1&amp;"|"&amp;$A11,Sikayet!$A:$A,0))/INDEX(Sikayet!$D:$D,MATCH($B$1&amp;"|"&amp;$A11,Sikayet!$A:$A,0))*1000,"")</f>
        <v>0.505348269182178</v>
      </c>
      <c r="U11" s="19" t="n">
        <f aca="false">IFERROR(INDEX(Denetim!$D:$D,MATCH($B$1&amp;"|"&amp;$A11,Denetim!$A:$A,0)),"")</f>
        <v>95</v>
      </c>
      <c r="V11" s="19" t="n">
        <f aca="false">IFERROR(INDEX(Denetim!$E:$E,MATCH($B$1&amp;"|"&amp;$A11,Denetim!$A:$A,0)),"")</f>
        <v>83</v>
      </c>
      <c r="W11" s="19" t="n">
        <f aca="false">IFERROR(INDEX(Denetim!$F:$F,MATCH($B$1&amp;"|"&amp;$A11,Denetim!$A:$A,0)),"")</f>
        <v>87</v>
      </c>
      <c r="X11" s="19" t="n">
        <f aca="false">INDEX(Performans_Puani!$S:$S,ROW())</f>
        <v>78</v>
      </c>
      <c r="Y11" s="20" t="n">
        <f aca="false">IFERROR(RANK(X11,$X$5:$X$12),"")</f>
        <v>1</v>
      </c>
      <c r="Z11" s="21" t="str">
        <f aca="false">IFERROR(INDEX(PnL!$M:$M,MATCH($B$1&amp;"|"&amp;$A11,PnL!$A:$A,0))&amp;"","")</f>
        <v>Satış bütçenin altında kaldı; mağaza katkısı bundan etkilendi, diğer kalemler stabil.</v>
      </c>
    </row>
    <row r="12" customFormat="false" ht="30" hidden="false" customHeight="true" outlineLevel="0" collapsed="false">
      <c r="A12" s="11" t="s">
        <v>64</v>
      </c>
      <c r="B12" s="11" t="s">
        <v>65</v>
      </c>
      <c r="C12" s="12" t="n">
        <f aca="false">IFERROR(INDEX(Satis!$D:$D,MATCH($B$1&amp;"|"&amp;$A12,Satis!$A:$A,0)),"")</f>
        <v>530</v>
      </c>
      <c r="D12" s="12" t="n">
        <f aca="false">IFERROR(INDEX(Satis!$F:$F,MATCH($B$1&amp;"|"&amp;$A12,Satis!$A:$A,0)),"")</f>
        <v>1822087</v>
      </c>
      <c r="E12" s="13" t="n">
        <f aca="false">IFERROR(INDEX(Satis!$F:$F,MATCH($B$1&amp;"|"&amp;$A12,Satis!$A:$A,0))/INDEX(Satis!$G:$G,MATCH($B$1&amp;"|"&amp;$A12,Satis!$A:$A,0))-1,"")</f>
        <v>-0.041558702515499</v>
      </c>
      <c r="F12" s="12" t="n">
        <f aca="false">IFERROR(INDEX(PnL!$K:$K,MATCH($B$1&amp;"|"&amp;$A12,PnL!$A:$A,0)),"")</f>
        <v>580543</v>
      </c>
      <c r="G12" s="13" t="n">
        <f aca="false">IFERROR((INDEX(PnL!$K:$K,MATCH($B$1&amp;"|"&amp;$A12,PnL!$A:$A,0))-INDEX(PnL!$L:$L,MATCH($B$1&amp;"|"&amp;$A12,PnL!$A:$A,0)))/ABS(INDEX(PnL!$L:$L,MATCH($B$1&amp;"|"&amp;$A12,PnL!$A:$A,0))),"")</f>
        <v>0.0209234232253867</v>
      </c>
      <c r="H12" s="14" t="n">
        <f aca="false">IFERROR(INDEX(CRM!$G:$G,MATCH($B$1&amp;"|"&amp;$A12,CRM!$A:$A,0))/INDEX(CRM!$F:$F,MATCH($B$1&amp;"|"&amp;$A12,CRM!$A:$A,0)),"")</f>
        <v>0.154825015216068</v>
      </c>
      <c r="I12" s="14" t="n">
        <f aca="false">IFERROR((INDEX(Paket_Servis!$E:$E,MATCH($B$1&amp;"|"&amp;$A12,Paket_Servis!$A:$A,0))+INDEX(Paket_Servis!$G:$G,MATCH($B$1&amp;"|"&amp;$A12,Paket_Servis!$A:$A,0)))/(INDEX(Paket_Servis!$D:$D,MATCH($B$1&amp;"|"&amp;$A12,Paket_Servis!$A:$A,0))+INDEX(Paket_Servis!$F:$F,MATCH($B$1&amp;"|"&amp;$A12,Paket_Servis!$A:$A,0))),"")</f>
        <v>0.080338266384778</v>
      </c>
      <c r="J12" s="14" t="n">
        <f aca="false">IFERROR(AVERAGE(INDEX(Paket_Servis!$H:$H,MATCH($B$1&amp;"|"&amp;$A12,Paket_Servis!$A:$A,0)),INDEX(Paket_Servis!$I:$I,MATCH($B$1&amp;"|"&amp;$A12,Paket_Servis!$A:$A,0))),"")</f>
        <v>0.9225</v>
      </c>
      <c r="K12" s="14" t="n">
        <f aca="false">IFERROR(INDEX(Paket_Servis!$J:$J,MATCH($B$1&amp;"|"&amp;$A12,Paket_Servis!$A:$A,0)),"")</f>
        <v>0.104</v>
      </c>
      <c r="L12" s="14" t="n">
        <f aca="false">IFERROR(INDEX(Urun_Karmasi!$E:$E,MATCH($B$1&amp;"|"&amp;$A12,Urun_Karmasi!$A:$A,0))/INDEX(Urun_Karmasi!$D:$D,MATCH($B$1&amp;"|"&amp;$A12,Urun_Karmasi!$A:$A,0)),"")</f>
        <v>0.206838149677146</v>
      </c>
      <c r="M12" s="14" t="n">
        <f aca="false">IFERROR(INDEX(Urun_Karmasi!$G:$G,MATCH($B$1&amp;"|"&amp;$A12,Urun_Karmasi!$A:$A,0))/INDEX(Urun_Karmasi!$F:$F,MATCH($B$1&amp;"|"&amp;$A12,Urun_Karmasi!$A:$A,0)),"")</f>
        <v>0.329580036518564</v>
      </c>
      <c r="N12" s="13" t="n">
        <f aca="false">IFERROR(M12-INDEX(Urun_Karmasi!$H:$H,MATCH($B$1&amp;"|"&amp;$A12,Urun_Karmasi!$A:$A,0)),"")</f>
        <v>0.0185800365185636</v>
      </c>
      <c r="O12" s="14" t="n">
        <f aca="false">IFERROR(INDEX(Fire_Envanter!$E:$E,MATCH($B$1&amp;"|"&amp;$A12,Fire_Envanter!$A:$A,0))/INDEX(Fire_Envanter!$D:$D,MATCH($B$1&amp;"|"&amp;$A12,Fire_Envanter!$A:$A,0)),"")</f>
        <v>0.0661581960490143</v>
      </c>
      <c r="P12" s="15" t="n">
        <f aca="false">IFERROR(INDEX(Fire_Envanter!$G:$G,MATCH($B$1&amp;"|"&amp;$A12,Fire_Envanter!$A:$A,0))/INDEX(Fire_Envanter!$F:$F,MATCH($B$1&amp;"|"&amp;$A12,Fire_Envanter!$A:$A,0)),"")</f>
        <v>-0.00615997159667275</v>
      </c>
      <c r="Q12" s="16" t="n">
        <f aca="false">IFERROR(INDEX(Egitim!$E:$E,MATCH($B$1&amp;"|"&amp;$A12,Egitim!$A:$A,0))/INDEX(Egitim!$D:$D,MATCH($B$1&amp;"|"&amp;$A12,Egitim!$A:$A,0)),"")</f>
        <v>1</v>
      </c>
      <c r="R12" s="16" t="n">
        <f aca="false">IFERROR(INDEX(Personel!$E:$E,MATCH($B$1&amp;"|"&amp;$A12,Personel!$A:$A,0))/INDEX(Personel!$D:$D,MATCH($B$1&amp;"|"&amp;$A12,Personel!$A:$A,0)),"")</f>
        <v>0.363636363636364</v>
      </c>
      <c r="S12" s="17" t="n">
        <f aca="false">IFERROR(INDEX(Kahve_Sohbeti!$E:$E,MATCH($B$1&amp;"|"&amp;$A12,Kahve_Sohbeti!$A:$A,0))-INDEX(Kahve_Sohbeti!$D:$D,MATCH($B$1&amp;"|"&amp;$A12,Kahve_Sohbeti!$A:$A,0))*0.2*2,"")</f>
        <v>-0.4</v>
      </c>
      <c r="T12" s="18" t="n">
        <f aca="false">IFERROR(INDEX(Sikayet!$E:$E,MATCH($B$1&amp;"|"&amp;$A12,Sikayet!$A:$A,0))/INDEX(Sikayet!$D:$D,MATCH($B$1&amp;"|"&amp;$A12,Sikayet!$A:$A,0))*1000,"")</f>
        <v>0.486914181375533</v>
      </c>
      <c r="U12" s="19" t="n">
        <f aca="false">IFERROR(INDEX(Denetim!$D:$D,MATCH($B$1&amp;"|"&amp;$A12,Denetim!$A:$A,0)),"")</f>
        <v>84</v>
      </c>
      <c r="V12" s="19" t="n">
        <f aca="false">IFERROR(INDEX(Denetim!$E:$E,MATCH($B$1&amp;"|"&amp;$A12,Denetim!$A:$A,0)),"")</f>
        <v>96</v>
      </c>
      <c r="W12" s="19" t="n">
        <f aca="false">IFERROR(INDEX(Denetim!$F:$F,MATCH($B$1&amp;"|"&amp;$A12,Denetim!$A:$A,0)),"")</f>
        <v>98</v>
      </c>
      <c r="X12" s="19" t="n">
        <f aca="false">INDEX(Performans_Puani!$S:$S,ROW())</f>
        <v>62</v>
      </c>
      <c r="Y12" s="20" t="n">
        <f aca="false">IFERROR(RANK(X12,$X$5:$X$12),"")</f>
        <v>5</v>
      </c>
      <c r="Z12" s="21" t="str">
        <f aca="false">IFERROR(INDEX(PnL!$M:$M,MATCH($B$1&amp;"|"&amp;$A12,PnL!$A:$A,0))&amp;"","")</f>
        <v>Kira farkı sözleşme yenilemesinden; emlak ekibine iletildi.</v>
      </c>
    </row>
    <row r="13" customFormat="false" ht="15" hidden="false" customHeight="false" outlineLevel="0" collapsed="false">
      <c r="A13" s="22" t="s">
        <v>66</v>
      </c>
      <c r="B13" s="22"/>
      <c r="C13" s="23" t="n">
        <f aca="false">SUM(C5:C12)</f>
        <v>4280</v>
      </c>
      <c r="D13" s="23" t="n">
        <f aca="false">SUM(D5:D12)</f>
        <v>16306302</v>
      </c>
      <c r="E13" s="24" t="n">
        <f aca="false">IFERROR(SUMIFS(Satis!$F:$F,Satis!$B:$B,$B$1)/SUMIFS(Satis!$G:$G,Satis!$B:$B,$B$1)-1,"")</f>
        <v>0.0194430815444333</v>
      </c>
      <c r="F13" s="23" t="n">
        <f aca="false">SUM(F5:F12)</f>
        <v>5399615</v>
      </c>
      <c r="G13" s="24" t="n">
        <f aca="false">IFERROR((SUMIFS(PnL!$K:$K,PnL!$B:$B,$B$1)-SUMIFS(PnL!$L:$L,PnL!$B:$B,$B$1))/ABS(SUMIFS(PnL!$L:$L,PnL!$B:$B,$B$1)),"")</f>
        <v>-0.00564081258933757</v>
      </c>
      <c r="H13" s="25" t="n">
        <f aca="false">IFERROR(AVERAGE(H5:H12),"")</f>
        <v>0.144758030382458</v>
      </c>
      <c r="I13" s="25" t="n">
        <f aca="false">IFERROR(AVERAGE(I5:I12),"")</f>
        <v>0.0626708917253332</v>
      </c>
      <c r="J13" s="25" t="n">
        <f aca="false">IFERROR(AVERAGE(J5:J12),"")</f>
        <v>0.922125</v>
      </c>
      <c r="K13" s="25" t="n">
        <f aca="false">IFERROR(AVERAGE(K5:K12),"")</f>
        <v>0.105375</v>
      </c>
      <c r="L13" s="25" t="n">
        <f aca="false">IFERROR(AVERAGE(L5:L12),"")</f>
        <v>0.20090606747143</v>
      </c>
      <c r="M13" s="25" t="n">
        <f aca="false">IFERROR(AVERAGE(M5:M12),"")</f>
        <v>0.325033218139196</v>
      </c>
      <c r="N13" s="24" t="n">
        <f aca="false">IFERROR(AVERAGE(N5:N12),"")</f>
        <v>-0.00309178186080358</v>
      </c>
      <c r="O13" s="25" t="n">
        <f aca="false">IFERROR(AVERAGE(O5:O12),"")</f>
        <v>0.0564085511737117</v>
      </c>
      <c r="P13" s="26" t="n">
        <f aca="false">IFERROR(AVERAGE(P5:P12),"")</f>
        <v>-0.00331246697231912</v>
      </c>
      <c r="Q13" s="27" t="n">
        <f aca="false">IFERROR(AVERAGE(Q5:Q12),"")</f>
        <v>0.967933006535948</v>
      </c>
      <c r="R13" s="27" t="n">
        <f aca="false">IFERROR(AVERAGE(R5:R12),"")</f>
        <v>0.184617557150452</v>
      </c>
      <c r="S13" s="28" t="n">
        <f aca="false">SUM(S5:S12)</f>
        <v>7.6</v>
      </c>
      <c r="T13" s="29" t="n">
        <f aca="false">IFERROR(AVERAGE(T5:T12),"")</f>
        <v>0.378615620444129</v>
      </c>
      <c r="U13" s="30" t="n">
        <f aca="false">IFERROR(AVERAGE(U5:U12),"")</f>
        <v>89.75</v>
      </c>
      <c r="V13" s="30" t="n">
        <f aca="false">IFERROR(AVERAGE(V5:V12),"")</f>
        <v>87.375</v>
      </c>
      <c r="W13" s="30" t="n">
        <f aca="false">IFERROR(AVERAGE(W5:W12),"")</f>
        <v>90.125</v>
      </c>
      <c r="X13" s="30" t="n">
        <f aca="false">IFERROR(AVERAGE(X5:X12),"")</f>
        <v>62.375</v>
      </c>
      <c r="Y13" s="22"/>
      <c r="Z13" s="22"/>
    </row>
    <row r="14" customFormat="false" ht="15" hidden="false" customHeight="false" outlineLevel="0" collapsed="false">
      <c r="A14" s="2" t="s">
        <v>67</v>
      </c>
    </row>
  </sheetData>
  <mergeCells count="7">
    <mergeCell ref="C2:E2"/>
    <mergeCell ref="F2:G2"/>
    <mergeCell ref="I2:K2"/>
    <mergeCell ref="L2:N2"/>
    <mergeCell ref="O2:P2"/>
    <mergeCell ref="Q2:S2"/>
    <mergeCell ref="U2:W2"/>
  </mergeCells>
  <conditionalFormatting sqref="E5:E12">
    <cfRule type="expression" priority="2" aboveAverage="0" equalAverage="0" bottom="0" percent="0" rank="0" text="" dxfId="0">
      <formula>AND(E5&lt;&gt;"",IF(Hedefler!$D$4="≥",E5&gt;=Hedefler!$E$4,E5&lt;=Hedefler!$E$4))</formula>
    </cfRule>
    <cfRule type="expression" priority="3" aboveAverage="0" equalAverage="0" bottom="0" percent="0" rank="0" text="" dxfId="1">
      <formula>AND(E5&lt;&gt;"",NOT(IF(Hedefler!$D$4="≥",E5&gt;=Hedefler!$E$4,E5&lt;=Hedefler!$E$4)))</formula>
    </cfRule>
  </conditionalFormatting>
  <conditionalFormatting sqref="G5:G12">
    <cfRule type="expression" priority="4" aboveAverage="0" equalAverage="0" bottom="0" percent="0" rank="0" text="" dxfId="0">
      <formula>AND(G5&lt;&gt;"",IF(Hedefler!$D$5="≥",G5&gt;=Hedefler!$E$5,G5&lt;=Hedefler!$E$5))</formula>
    </cfRule>
    <cfRule type="expression" priority="5" aboveAverage="0" equalAverage="0" bottom="0" percent="0" rank="0" text="" dxfId="1">
      <formula>AND(G5&lt;&gt;"",NOT(IF(Hedefler!$D$5="≥",G5&gt;=Hedefler!$E$5,G5&lt;=Hedefler!$E$5)))</formula>
    </cfRule>
  </conditionalFormatting>
  <conditionalFormatting sqref="H5:H12">
    <cfRule type="expression" priority="6" aboveAverage="0" equalAverage="0" bottom="0" percent="0" rank="0" text="" dxfId="0">
      <formula>AND(H5&lt;&gt;"",IF(Hedefler!$D$6="≥",H5&gt;=Hedefler!$E$6,H5&lt;=Hedefler!$E$6))</formula>
    </cfRule>
    <cfRule type="expression" priority="7" aboveAverage="0" equalAverage="0" bottom="0" percent="0" rank="0" text="" dxfId="1">
      <formula>AND(H5&lt;&gt;"",NOT(IF(Hedefler!$D$6="≥",H5&gt;=Hedefler!$E$6,H5&lt;=Hedefler!$E$6)))</formula>
    </cfRule>
  </conditionalFormatting>
  <conditionalFormatting sqref="I5:I12">
    <cfRule type="expression" priority="8" aboveAverage="0" equalAverage="0" bottom="0" percent="0" rank="0" text="" dxfId="0">
      <formula>AND(I5&lt;&gt;"",IF(Hedefler!$D$7="≥",I5&gt;=Hedefler!$E$7,I5&lt;=Hedefler!$E$7))</formula>
    </cfRule>
    <cfRule type="expression" priority="9" aboveAverage="0" equalAverage="0" bottom="0" percent="0" rank="0" text="" dxfId="1">
      <formula>AND(I5&lt;&gt;"",NOT(IF(Hedefler!$D$7="≥",I5&gt;=Hedefler!$E$7,I5&lt;=Hedefler!$E$7)))</formula>
    </cfRule>
  </conditionalFormatting>
  <conditionalFormatting sqref="J5:J12">
    <cfRule type="expression" priority="10" aboveAverage="0" equalAverage="0" bottom="0" percent="0" rank="0" text="" dxfId="0">
      <formula>AND(J5&lt;&gt;"",IF(Hedefler!$D$8="≥",J5&gt;=Hedefler!$E$8,J5&lt;=Hedefler!$E$8))</formula>
    </cfRule>
    <cfRule type="expression" priority="11" aboveAverage="0" equalAverage="0" bottom="0" percent="0" rank="0" text="" dxfId="1">
      <formula>AND(J5&lt;&gt;"",NOT(IF(Hedefler!$D$8="≥",J5&gt;=Hedefler!$E$8,J5&lt;=Hedefler!$E$8)))</formula>
    </cfRule>
  </conditionalFormatting>
  <conditionalFormatting sqref="L5:L12">
    <cfRule type="expression" priority="12" aboveAverage="0" equalAverage="0" bottom="0" percent="0" rank="0" text="" dxfId="0">
      <formula>AND(L5&lt;&gt;"",IF(Hedefler!$D$9="≥",L5&gt;=Hedefler!$E$9,L5&lt;=Hedefler!$E$9))</formula>
    </cfRule>
    <cfRule type="expression" priority="13" aboveAverage="0" equalAverage="0" bottom="0" percent="0" rank="0" text="" dxfId="1">
      <formula>AND(L5&lt;&gt;"",NOT(IF(Hedefler!$D$9="≥",L5&gt;=Hedefler!$E$9,L5&lt;=Hedefler!$E$9)))</formula>
    </cfRule>
  </conditionalFormatting>
  <conditionalFormatting sqref="N5:N12">
    <cfRule type="expression" priority="14" aboveAverage="0" equalAverage="0" bottom="0" percent="0" rank="0" text="" dxfId="0">
      <formula>AND(N5&lt;&gt;"",IF(Hedefler!$D$10="≥",N5&gt;=Hedefler!$E$10,N5&lt;=Hedefler!$E$10))</formula>
    </cfRule>
    <cfRule type="expression" priority="15" aboveAverage="0" equalAverage="0" bottom="0" percent="0" rank="0" text="" dxfId="1">
      <formula>AND(N5&lt;&gt;"",NOT(IF(Hedefler!$D$10="≥",N5&gt;=Hedefler!$E$10,N5&lt;=Hedefler!$E$10)))</formula>
    </cfRule>
  </conditionalFormatting>
  <conditionalFormatting sqref="O5:O12">
    <cfRule type="expression" priority="16" aboveAverage="0" equalAverage="0" bottom="0" percent="0" rank="0" text="" dxfId="0">
      <formula>AND(O5&lt;&gt;"",IF(Hedefler!$D$11="≥",O5&gt;=Hedefler!$E$11,O5&lt;=Hedefler!$E$11))</formula>
    </cfRule>
    <cfRule type="expression" priority="17" aboveAverage="0" equalAverage="0" bottom="0" percent="0" rank="0" text="" dxfId="1">
      <formula>AND(O5&lt;&gt;"",NOT(IF(Hedefler!$D$11="≥",O5&gt;=Hedefler!$E$11,O5&lt;=Hedefler!$E$11)))</formula>
    </cfRule>
  </conditionalFormatting>
  <conditionalFormatting sqref="P5:P12">
    <cfRule type="expression" priority="18" aboveAverage="0" equalAverage="0" bottom="0" percent="0" rank="0" text="" dxfId="0">
      <formula>AND(P5&lt;&gt;"",IF(Hedefler!$D$12="≥",P5&gt;=Hedefler!$E$12,P5&lt;=Hedefler!$E$12))</formula>
    </cfRule>
    <cfRule type="expression" priority="19" aboveAverage="0" equalAverage="0" bottom="0" percent="0" rank="0" text="" dxfId="1">
      <formula>AND(P5&lt;&gt;"",NOT(IF(Hedefler!$D$12="≥",P5&gt;=Hedefler!$E$12,P5&lt;=Hedefler!$E$12)))</formula>
    </cfRule>
  </conditionalFormatting>
  <conditionalFormatting sqref="Q5:Q12">
    <cfRule type="expression" priority="20" aboveAverage="0" equalAverage="0" bottom="0" percent="0" rank="0" text="" dxfId="0">
      <formula>AND(Q5&lt;&gt;"",IF(Hedefler!$D$13="≥",Q5&gt;=Hedefler!$E$13,Q5&lt;=Hedefler!$E$13))</formula>
    </cfRule>
    <cfRule type="expression" priority="21" aboveAverage="0" equalAverage="0" bottom="0" percent="0" rank="0" text="" dxfId="1">
      <formula>AND(Q5&lt;&gt;"",NOT(IF(Hedefler!$D$13="≥",Q5&gt;=Hedefler!$E$13,Q5&lt;=Hedefler!$E$13)))</formula>
    </cfRule>
  </conditionalFormatting>
  <conditionalFormatting sqref="R5:R12">
    <cfRule type="expression" priority="22" aboveAverage="0" equalAverage="0" bottom="0" percent="0" rank="0" text="" dxfId="0">
      <formula>AND(R5&lt;&gt;"",IF(Hedefler!$D$14="≥",R5&gt;=Hedefler!$E$14,R5&lt;=Hedefler!$E$14))</formula>
    </cfRule>
    <cfRule type="expression" priority="23" aboveAverage="0" equalAverage="0" bottom="0" percent="0" rank="0" text="" dxfId="1">
      <formula>AND(R5&lt;&gt;"",NOT(IF(Hedefler!$D$14="≥",R5&gt;=Hedefler!$E$14,R5&lt;=Hedefler!$E$14)))</formula>
    </cfRule>
  </conditionalFormatting>
  <conditionalFormatting sqref="S5:S12">
    <cfRule type="expression" priority="24" aboveAverage="0" equalAverage="0" bottom="0" percent="0" rank="0" text="" dxfId="0">
      <formula>AND(S5&lt;&gt;"",IF(Hedefler!$D$15="≥",S5&gt;=Hedefler!$E$15,S5&lt;=Hedefler!$E$15))</formula>
    </cfRule>
    <cfRule type="expression" priority="25" aboveAverage="0" equalAverage="0" bottom="0" percent="0" rank="0" text="" dxfId="1">
      <formula>AND(S5&lt;&gt;"",NOT(IF(Hedefler!$D$15="≥",S5&gt;=Hedefler!$E$15,S5&lt;=Hedefler!$E$15)))</formula>
    </cfRule>
  </conditionalFormatting>
  <conditionalFormatting sqref="T5:T12">
    <cfRule type="expression" priority="26" aboveAverage="0" equalAverage="0" bottom="0" percent="0" rank="0" text="" dxfId="0">
      <formula>AND(T5&lt;&gt;"",IF(Hedefler!$D$16="≥",T5&gt;=Hedefler!$E$16,T5&lt;=Hedefler!$E$16))</formula>
    </cfRule>
    <cfRule type="expression" priority="27" aboveAverage="0" equalAverage="0" bottom="0" percent="0" rank="0" text="" dxfId="1">
      <formula>AND(T5&lt;&gt;"",NOT(IF(Hedefler!$D$16="≥",T5&gt;=Hedefler!$E$16,T5&lt;=Hedefler!$E$16)))</formula>
    </cfRule>
  </conditionalFormatting>
  <conditionalFormatting sqref="U5:U12">
    <cfRule type="expression" priority="28" aboveAverage="0" equalAverage="0" bottom="0" percent="0" rank="0" text="" dxfId="0">
      <formula>AND(U5&lt;&gt;"",IF(Hedefler!$D$17="≥",U5&gt;=Hedefler!$E$17,U5&lt;=Hedefler!$E$17))</formula>
    </cfRule>
    <cfRule type="expression" priority="29" aboveAverage="0" equalAverage="0" bottom="0" percent="0" rank="0" text="" dxfId="1">
      <formula>AND(U5&lt;&gt;"",NOT(IF(Hedefler!$D$17="≥",U5&gt;=Hedefler!$E$17,U5&lt;=Hedefler!$E$17)))</formula>
    </cfRule>
  </conditionalFormatting>
  <conditionalFormatting sqref="V5:V12">
    <cfRule type="expression" priority="30" aboveAverage="0" equalAverage="0" bottom="0" percent="0" rank="0" text="" dxfId="0">
      <formula>AND(V5&lt;&gt;"",IF(Hedefler!$D$18="≥",V5&gt;=Hedefler!$E$18,V5&lt;=Hedefler!$E$18))</formula>
    </cfRule>
    <cfRule type="expression" priority="31" aboveAverage="0" equalAverage="0" bottom="0" percent="0" rank="0" text="" dxfId="1">
      <formula>AND(V5&lt;&gt;"",NOT(IF(Hedefler!$D$18="≥",V5&gt;=Hedefler!$E$18,V5&lt;=Hedefler!$E$18)))</formula>
    </cfRule>
  </conditionalFormatting>
  <conditionalFormatting sqref="W5:W12">
    <cfRule type="expression" priority="32" aboveAverage="0" equalAverage="0" bottom="0" percent="0" rank="0" text="" dxfId="0">
      <formula>AND(W5&lt;&gt;"",IF(Hedefler!$D$19="≥",W5&gt;=Hedefler!$E$19,W5&lt;=Hedefler!$E$19))</formula>
    </cfRule>
    <cfRule type="expression" priority="33" aboveAverage="0" equalAverage="0" bottom="0" percent="0" rank="0" text="" dxfId="1">
      <formula>AND(W5&lt;&gt;"",NOT(IF(Hedefler!$D$19="≥",W5&gt;=Hedefler!$E$19,W5&lt;=Hedefler!$E$19)))</formula>
    </cfRule>
  </conditionalFormatting>
  <conditionalFormatting sqref="X5:X12">
    <cfRule type="expression" priority="34" aboveAverage="0" equalAverage="0" bottom="0" percent="0" rank="0" text="" dxfId="0">
      <formula>X5&gt;=80</formula>
    </cfRule>
    <cfRule type="expression" priority="35" aboveAverage="0" equalAverage="0" bottom="0" percent="0" rank="0" text="" dxfId="1">
      <formula>X5&lt;60</formula>
    </cfRule>
  </conditionalFormatting>
  <dataValidations count="1">
    <dataValidation allowBlank="false" errorStyle="stop" operator="between" showDropDown="false" showErrorMessage="false" showInputMessage="false" sqref="B1" type="list">
      <formula1>"P1,P2,P3,P4,P5,P6,P7,P8,P9,P10,P11,P12"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7" min="2" style="0" width="6"/>
    <col collapsed="false" customWidth="true" hidden="false" outlineLevel="0" max="18" min="18" style="0" width="2"/>
    <col collapsed="false" customWidth="true" hidden="false" outlineLevel="0" max="19" min="19" style="0" width="8"/>
  </cols>
  <sheetData>
    <row r="1" customFormat="false" ht="16.15" hidden="false" customHeight="false" outlineLevel="0" collapsed="false">
      <c r="A1" s="1" t="str">
        <f aca="false">"Performans Puanı — "&amp;Genel_Tablo!B1</f>
        <v>Performans Puanı — P3</v>
      </c>
    </row>
    <row r="2" customFormat="false" ht="15" hidden="false" customHeight="false" outlineLevel="0" collapsed="false">
      <c r="A2" s="2" t="s">
        <v>68</v>
      </c>
    </row>
    <row r="3" customFormat="false" ht="15" hidden="false" customHeight="false" outlineLevel="0" collapsed="false">
      <c r="A3" s="8" t="s">
        <v>69</v>
      </c>
      <c r="B3" s="31" t="n">
        <f aca="false">Hedefler!F4</f>
        <v>15</v>
      </c>
      <c r="C3" s="31" t="n">
        <f aca="false">Hedefler!F5</f>
        <v>15</v>
      </c>
      <c r="D3" s="31" t="n">
        <f aca="false">Hedefler!F6</f>
        <v>8</v>
      </c>
      <c r="E3" s="31" t="n">
        <f aca="false">Hedefler!F7</f>
        <v>5</v>
      </c>
      <c r="F3" s="31" t="n">
        <f aca="false">Hedefler!F8</f>
        <v>5</v>
      </c>
      <c r="G3" s="31" t="n">
        <f aca="false">Hedefler!F9</f>
        <v>4</v>
      </c>
      <c r="H3" s="31" t="n">
        <f aca="false">Hedefler!F10</f>
        <v>6</v>
      </c>
      <c r="I3" s="31" t="n">
        <f aca="false">Hedefler!F11</f>
        <v>6</v>
      </c>
      <c r="J3" s="31" t="n">
        <f aca="false">Hedefler!F12</f>
        <v>6</v>
      </c>
      <c r="K3" s="31" t="n">
        <f aca="false">Hedefler!F13</f>
        <v>6</v>
      </c>
      <c r="L3" s="31" t="n">
        <f aca="false">Hedefler!F14</f>
        <v>6</v>
      </c>
      <c r="M3" s="31" t="n">
        <f aca="false">Hedefler!F15</f>
        <v>4</v>
      </c>
      <c r="N3" s="31" t="n">
        <f aca="false">Hedefler!F16</f>
        <v>4</v>
      </c>
      <c r="O3" s="31" t="n">
        <f aca="false">Hedefler!F17</f>
        <v>4</v>
      </c>
      <c r="P3" s="31" t="n">
        <f aca="false">Hedefler!F18</f>
        <v>3</v>
      </c>
      <c r="Q3" s="31" t="n">
        <f aca="false">Hedefler!F19</f>
        <v>3</v>
      </c>
    </row>
    <row r="4" customFormat="false" ht="24" hidden="false" customHeight="true" outlineLevel="0" collapsed="false">
      <c r="A4" s="10" t="s">
        <v>26</v>
      </c>
      <c r="B4" s="10" t="s">
        <v>70</v>
      </c>
      <c r="C4" s="10" t="s">
        <v>71</v>
      </c>
      <c r="D4" s="10" t="s">
        <v>18</v>
      </c>
      <c r="E4" s="10" t="s">
        <v>72</v>
      </c>
      <c r="F4" s="10" t="s">
        <v>73</v>
      </c>
      <c r="G4" s="10" t="s">
        <v>74</v>
      </c>
      <c r="H4" s="10" t="s">
        <v>75</v>
      </c>
      <c r="I4" s="10" t="s">
        <v>76</v>
      </c>
      <c r="J4" s="10" t="s">
        <v>77</v>
      </c>
      <c r="K4" s="10" t="s">
        <v>78</v>
      </c>
      <c r="L4" s="10" t="s">
        <v>79</v>
      </c>
      <c r="M4" s="10" t="s">
        <v>80</v>
      </c>
      <c r="N4" s="10" t="s">
        <v>81</v>
      </c>
      <c r="O4" s="10" t="s">
        <v>46</v>
      </c>
      <c r="P4" s="10" t="s">
        <v>47</v>
      </c>
      <c r="Q4" s="10" t="s">
        <v>48</v>
      </c>
      <c r="R4" s="10"/>
      <c r="S4" s="10" t="s">
        <v>82</v>
      </c>
    </row>
    <row r="5" customFormat="false" ht="15" hidden="false" customHeight="false" outlineLevel="0" collapsed="false">
      <c r="A5" s="32" t="str">
        <f aca="false">Genel_Tablo!A5</f>
        <v>Mağaza A</v>
      </c>
      <c r="B5" s="33" t="n">
        <f aca="false">IF(Genel_Tablo!E5="","",IF(IF(Hedefler!$D$4="≥",Genel_Tablo!E5&gt;=Hedefler!$E$4,Genel_Tablo!E5&lt;=Hedefler!$E$4),Hedefler!$F$4,0))</f>
        <v>15</v>
      </c>
      <c r="C5" s="33" t="n">
        <f aca="false">IF(Genel_Tablo!G5="","",IF(IF(Hedefler!$D$5="≥",Genel_Tablo!G5&gt;=Hedefler!$E$5,Genel_Tablo!G5&lt;=Hedefler!$E$5),Hedefler!$F$5,0))</f>
        <v>0</v>
      </c>
      <c r="D5" s="33" t="n">
        <f aca="false">IF(Genel_Tablo!H5="","",IF(IF(Hedefler!$D$6="≥",Genel_Tablo!H5&gt;=Hedefler!$E$6,Genel_Tablo!H5&lt;=Hedefler!$E$6),Hedefler!$F$6,0))</f>
        <v>8</v>
      </c>
      <c r="E5" s="33" t="n">
        <f aca="false">IF(Genel_Tablo!I5="","",IF(IF(Hedefler!$D$7="≥",Genel_Tablo!I5&gt;=Hedefler!$E$7,Genel_Tablo!I5&lt;=Hedefler!$E$7),Hedefler!$F$7,0))</f>
        <v>5</v>
      </c>
      <c r="F5" s="33" t="n">
        <f aca="false">IF(Genel_Tablo!J5="","",IF(IF(Hedefler!$D$8="≥",Genel_Tablo!J5&gt;=Hedefler!$E$8,Genel_Tablo!J5&lt;=Hedefler!$E$8),Hedefler!$F$8,0))</f>
        <v>5</v>
      </c>
      <c r="G5" s="33" t="n">
        <f aca="false">IF(Genel_Tablo!L5="","",IF(IF(Hedefler!$D$9="≥",Genel_Tablo!L5&gt;=Hedefler!$E$9,Genel_Tablo!L5&lt;=Hedefler!$E$9),Hedefler!$F$9,0))</f>
        <v>4</v>
      </c>
      <c r="H5" s="33" t="n">
        <f aca="false">IF(Genel_Tablo!N5="","",IF(IF(Hedefler!$D$10="≥",Genel_Tablo!N5&gt;=Hedefler!$E$10,Genel_Tablo!N5&lt;=Hedefler!$E$10),Hedefler!$F$10,0))</f>
        <v>6</v>
      </c>
      <c r="I5" s="33" t="n">
        <f aca="false">IF(Genel_Tablo!O5="","",IF(IF(Hedefler!$D$11="≥",Genel_Tablo!O5&gt;=Hedefler!$E$11,Genel_Tablo!O5&lt;=Hedefler!$E$11),Hedefler!$F$11,0))</f>
        <v>6</v>
      </c>
      <c r="J5" s="33" t="n">
        <f aca="false">IF(Genel_Tablo!P5="","",IF(IF(Hedefler!$D$12="≥",Genel_Tablo!P5&gt;=Hedefler!$E$12,Genel_Tablo!P5&lt;=Hedefler!$E$12),Hedefler!$F$12,0))</f>
        <v>6</v>
      </c>
      <c r="K5" s="33" t="n">
        <f aca="false">IF(Genel_Tablo!Q5="","",IF(IF(Hedefler!$D$13="≥",Genel_Tablo!Q5&gt;=Hedefler!$E$13,Genel_Tablo!Q5&lt;=Hedefler!$E$13),Hedefler!$F$13,0))</f>
        <v>6</v>
      </c>
      <c r="L5" s="33" t="n">
        <f aca="false">IF(Genel_Tablo!R5="","",IF(IF(Hedefler!$D$14="≥",Genel_Tablo!R5&gt;=Hedefler!$E$14,Genel_Tablo!R5&lt;=Hedefler!$E$14),Hedefler!$F$14,0))</f>
        <v>6</v>
      </c>
      <c r="M5" s="33" t="n">
        <f aca="false">IF(Genel_Tablo!S5="","",IF(IF(Hedefler!$D$15="≥",Genel_Tablo!S5&gt;=Hedefler!$E$15,Genel_Tablo!S5&lt;=Hedefler!$E$15),Hedefler!$F$15,0))</f>
        <v>0</v>
      </c>
      <c r="N5" s="33" t="n">
        <f aca="false">IF(Genel_Tablo!T5="","",IF(IF(Hedefler!$D$16="≥",Genel_Tablo!T5&gt;=Hedefler!$E$16,Genel_Tablo!T5&lt;=Hedefler!$E$16),Hedefler!$F$16,0))</f>
        <v>4</v>
      </c>
      <c r="O5" s="33" t="n">
        <f aca="false">IF(Genel_Tablo!U5="","",IF(IF(Hedefler!$D$17="≥",Genel_Tablo!U5&gt;=Hedefler!$E$17,Genel_Tablo!U5&lt;=Hedefler!$E$17),Hedefler!$F$17,0))</f>
        <v>4</v>
      </c>
      <c r="P5" s="33" t="n">
        <f aca="false">IF(Genel_Tablo!V5="","",IF(IF(Hedefler!$D$18="≥",Genel_Tablo!V5&gt;=Hedefler!$E$18,Genel_Tablo!V5&lt;=Hedefler!$E$18),Hedefler!$F$18,0))</f>
        <v>0</v>
      </c>
      <c r="Q5" s="33" t="n">
        <f aca="false">IF(Genel_Tablo!W5="","",IF(IF(Hedefler!$D$19="≥",Genel_Tablo!W5&gt;=Hedefler!$E$19,Genel_Tablo!W5&lt;=Hedefler!$E$19),Hedefler!$F$19,0))</f>
        <v>3</v>
      </c>
      <c r="S5" s="34" t="n">
        <f aca="false">SUM(B5:Q5)</f>
        <v>78</v>
      </c>
    </row>
    <row r="6" customFormat="false" ht="15" hidden="false" customHeight="false" outlineLevel="0" collapsed="false">
      <c r="A6" s="32" t="str">
        <f aca="false">Genel_Tablo!A6</f>
        <v>Mağaza B</v>
      </c>
      <c r="B6" s="33" t="n">
        <f aca="false">IF(Genel_Tablo!E6="","",IF(IF(Hedefler!$D$4="≥",Genel_Tablo!E6&gt;=Hedefler!$E$4,Genel_Tablo!E6&lt;=Hedefler!$E$4),Hedefler!$F$4,0))</f>
        <v>0</v>
      </c>
      <c r="C6" s="33" t="n">
        <f aca="false">IF(Genel_Tablo!G6="","",IF(IF(Hedefler!$D$5="≥",Genel_Tablo!G6&gt;=Hedefler!$E$5,Genel_Tablo!G6&lt;=Hedefler!$E$5),Hedefler!$F$5,0))</f>
        <v>15</v>
      </c>
      <c r="D6" s="33" t="n">
        <f aca="false">IF(Genel_Tablo!H6="","",IF(IF(Hedefler!$D$6="≥",Genel_Tablo!H6&gt;=Hedefler!$E$6,Genel_Tablo!H6&lt;=Hedefler!$E$6),Hedefler!$F$6,0))</f>
        <v>8</v>
      </c>
      <c r="E6" s="33" t="n">
        <f aca="false">IF(Genel_Tablo!I6="","",IF(IF(Hedefler!$D$7="≥",Genel_Tablo!I6&gt;=Hedefler!$E$7,Genel_Tablo!I6&lt;=Hedefler!$E$7),Hedefler!$F$7,0))</f>
        <v>5</v>
      </c>
      <c r="F6" s="33" t="n">
        <f aca="false">IF(Genel_Tablo!J6="","",IF(IF(Hedefler!$D$8="≥",Genel_Tablo!J6&gt;=Hedefler!$E$8,Genel_Tablo!J6&lt;=Hedefler!$E$8),Hedefler!$F$8,0))</f>
        <v>5</v>
      </c>
      <c r="G6" s="33" t="n">
        <f aca="false">IF(Genel_Tablo!L6="","",IF(IF(Hedefler!$D$9="≥",Genel_Tablo!L6&gt;=Hedefler!$E$9,Genel_Tablo!L6&lt;=Hedefler!$E$9),Hedefler!$F$9,0))</f>
        <v>4</v>
      </c>
      <c r="H6" s="33" t="n">
        <f aca="false">IF(Genel_Tablo!N6="","",IF(IF(Hedefler!$D$10="≥",Genel_Tablo!N6&gt;=Hedefler!$E$10,Genel_Tablo!N6&lt;=Hedefler!$E$10),Hedefler!$F$10,0))</f>
        <v>6</v>
      </c>
      <c r="I6" s="33" t="n">
        <f aca="false">IF(Genel_Tablo!O6="","",IF(IF(Hedefler!$D$11="≥",Genel_Tablo!O6&gt;=Hedefler!$E$11,Genel_Tablo!O6&lt;=Hedefler!$E$11),Hedefler!$F$11,0))</f>
        <v>6</v>
      </c>
      <c r="J6" s="33" t="n">
        <f aca="false">IF(Genel_Tablo!P6="","",IF(IF(Hedefler!$D$12="≥",Genel_Tablo!P6&gt;=Hedefler!$E$12,Genel_Tablo!P6&lt;=Hedefler!$E$12),Hedefler!$F$12,0))</f>
        <v>0</v>
      </c>
      <c r="K6" s="33" t="n">
        <f aca="false">IF(Genel_Tablo!Q6="","",IF(IF(Hedefler!$D$13="≥",Genel_Tablo!Q6&gt;=Hedefler!$E$13,Genel_Tablo!Q6&lt;=Hedefler!$E$13),Hedefler!$F$13,0))</f>
        <v>6</v>
      </c>
      <c r="L6" s="33" t="n">
        <f aca="false">IF(Genel_Tablo!R6="","",IF(IF(Hedefler!$D$14="≥",Genel_Tablo!R6&gt;=Hedefler!$E$14,Genel_Tablo!R6&lt;=Hedefler!$E$14),Hedefler!$F$14,0))</f>
        <v>6</v>
      </c>
      <c r="M6" s="33" t="n">
        <f aca="false">IF(Genel_Tablo!S6="","",IF(IF(Hedefler!$D$15="≥",Genel_Tablo!S6&gt;=Hedefler!$E$15,Genel_Tablo!S6&lt;=Hedefler!$E$15),Hedefler!$F$15,0))</f>
        <v>4</v>
      </c>
      <c r="N6" s="33" t="n">
        <f aca="false">IF(Genel_Tablo!T6="","",IF(IF(Hedefler!$D$16="≥",Genel_Tablo!T6&gt;=Hedefler!$E$16,Genel_Tablo!T6&lt;=Hedefler!$E$16),Hedefler!$F$16,0))</f>
        <v>0</v>
      </c>
      <c r="O6" s="33" t="n">
        <f aca="false">IF(Genel_Tablo!U6="","",IF(IF(Hedefler!$D$17="≥",Genel_Tablo!U6&gt;=Hedefler!$E$17,Genel_Tablo!U6&lt;=Hedefler!$E$17),Hedefler!$F$17,0))</f>
        <v>4</v>
      </c>
      <c r="P6" s="33" t="n">
        <f aca="false">IF(Genel_Tablo!V6="","",IF(IF(Hedefler!$D$18="≥",Genel_Tablo!V6&gt;=Hedefler!$E$18,Genel_Tablo!V6&lt;=Hedefler!$E$18),Hedefler!$F$18,0))</f>
        <v>3</v>
      </c>
      <c r="Q6" s="33" t="n">
        <f aca="false">IF(Genel_Tablo!W6="","",IF(IF(Hedefler!$D$19="≥",Genel_Tablo!W6&gt;=Hedefler!$E$19,Genel_Tablo!W6&lt;=Hedefler!$E$19),Hedefler!$F$19,0))</f>
        <v>3</v>
      </c>
      <c r="S6" s="34" t="n">
        <f aca="false">SUM(B6:Q6)</f>
        <v>75</v>
      </c>
    </row>
    <row r="7" customFormat="false" ht="15" hidden="false" customHeight="false" outlineLevel="0" collapsed="false">
      <c r="A7" s="32" t="str">
        <f aca="false">Genel_Tablo!A7</f>
        <v>Mağaza C</v>
      </c>
      <c r="B7" s="33" t="n">
        <f aca="false">IF(Genel_Tablo!E7="","",IF(IF(Hedefler!$D$4="≥",Genel_Tablo!E7&gt;=Hedefler!$E$4,Genel_Tablo!E7&lt;=Hedefler!$E$4),Hedefler!$F$4,0))</f>
        <v>0</v>
      </c>
      <c r="C7" s="33" t="n">
        <f aca="false">IF(Genel_Tablo!G7="","",IF(IF(Hedefler!$D$5="≥",Genel_Tablo!G7&gt;=Hedefler!$E$5,Genel_Tablo!G7&lt;=Hedefler!$E$5),Hedefler!$F$5,0))</f>
        <v>15</v>
      </c>
      <c r="D7" s="33" t="n">
        <f aca="false">IF(Genel_Tablo!H7="","",IF(IF(Hedefler!$D$6="≥",Genel_Tablo!H7&gt;=Hedefler!$E$6,Genel_Tablo!H7&lt;=Hedefler!$E$6),Hedefler!$F$6,0))</f>
        <v>0</v>
      </c>
      <c r="E7" s="33" t="n">
        <f aca="false">IF(Genel_Tablo!I7="","",IF(IF(Hedefler!$D$7="≥",Genel_Tablo!I7&gt;=Hedefler!$E$7,Genel_Tablo!I7&lt;=Hedefler!$E$7),Hedefler!$F$7,0))</f>
        <v>0</v>
      </c>
      <c r="F7" s="33" t="n">
        <f aca="false">IF(Genel_Tablo!J7="","",IF(IF(Hedefler!$D$8="≥",Genel_Tablo!J7&gt;=Hedefler!$E$8,Genel_Tablo!J7&lt;=Hedefler!$E$8),Hedefler!$F$8,0))</f>
        <v>0</v>
      </c>
      <c r="G7" s="33" t="n">
        <f aca="false">IF(Genel_Tablo!L7="","",IF(IF(Hedefler!$D$9="≥",Genel_Tablo!L7&gt;=Hedefler!$E$9,Genel_Tablo!L7&lt;=Hedefler!$E$9),Hedefler!$F$9,0))</f>
        <v>4</v>
      </c>
      <c r="H7" s="33" t="n">
        <f aca="false">IF(Genel_Tablo!N7="","",IF(IF(Hedefler!$D$10="≥",Genel_Tablo!N7&gt;=Hedefler!$E$10,Genel_Tablo!N7&lt;=Hedefler!$E$10),Hedefler!$F$10,0))</f>
        <v>0</v>
      </c>
      <c r="I7" s="33" t="n">
        <f aca="false">IF(Genel_Tablo!O7="","",IF(IF(Hedefler!$D$11="≥",Genel_Tablo!O7&gt;=Hedefler!$E$11,Genel_Tablo!O7&lt;=Hedefler!$E$11),Hedefler!$F$11,0))</f>
        <v>6</v>
      </c>
      <c r="J7" s="33" t="n">
        <f aca="false">IF(Genel_Tablo!P7="","",IF(IF(Hedefler!$D$12="≥",Genel_Tablo!P7&gt;=Hedefler!$E$12,Genel_Tablo!P7&lt;=Hedefler!$E$12),Hedefler!$F$12,0))</f>
        <v>6</v>
      </c>
      <c r="K7" s="33" t="n">
        <f aca="false">IF(Genel_Tablo!Q7="","",IF(IF(Hedefler!$D$13="≥",Genel_Tablo!Q7&gt;=Hedefler!$E$13,Genel_Tablo!Q7&lt;=Hedefler!$E$13),Hedefler!$F$13,0))</f>
        <v>6</v>
      </c>
      <c r="L7" s="33" t="n">
        <f aca="false">IF(Genel_Tablo!R7="","",IF(IF(Hedefler!$D$14="≥",Genel_Tablo!R7&gt;=Hedefler!$E$14,Genel_Tablo!R7&lt;=Hedefler!$E$14),Hedefler!$F$14,0))</f>
        <v>6</v>
      </c>
      <c r="M7" s="33" t="n">
        <f aca="false">IF(Genel_Tablo!S7="","",IF(IF(Hedefler!$D$15="≥",Genel_Tablo!S7&gt;=Hedefler!$E$15,Genel_Tablo!S7&lt;=Hedefler!$E$15),Hedefler!$F$15,0))</f>
        <v>4</v>
      </c>
      <c r="N7" s="33" t="n">
        <f aca="false">IF(Genel_Tablo!T7="","",IF(IF(Hedefler!$D$16="≥",Genel_Tablo!T7&gt;=Hedefler!$E$16,Genel_Tablo!T7&lt;=Hedefler!$E$16),Hedefler!$F$16,0))</f>
        <v>4</v>
      </c>
      <c r="O7" s="33" t="n">
        <f aca="false">IF(Genel_Tablo!U7="","",IF(IF(Hedefler!$D$17="≥",Genel_Tablo!U7&gt;=Hedefler!$E$17,Genel_Tablo!U7&lt;=Hedefler!$E$17),Hedefler!$F$17,0))</f>
        <v>0</v>
      </c>
      <c r="P7" s="33" t="n">
        <f aca="false">IF(Genel_Tablo!V7="","",IF(IF(Hedefler!$D$18="≥",Genel_Tablo!V7&gt;=Hedefler!$E$18,Genel_Tablo!V7&lt;=Hedefler!$E$18),Hedefler!$F$18,0))</f>
        <v>3</v>
      </c>
      <c r="Q7" s="33" t="n">
        <f aca="false">IF(Genel_Tablo!W7="","",IF(IF(Hedefler!$D$19="≥",Genel_Tablo!W7&gt;=Hedefler!$E$19,Genel_Tablo!W7&lt;=Hedefler!$E$19),Hedefler!$F$19,0))</f>
        <v>3</v>
      </c>
      <c r="S7" s="34" t="n">
        <f aca="false">SUM(B7:Q7)</f>
        <v>57</v>
      </c>
    </row>
    <row r="8" customFormat="false" ht="15" hidden="false" customHeight="false" outlineLevel="0" collapsed="false">
      <c r="A8" s="32" t="str">
        <f aca="false">Genel_Tablo!A8</f>
        <v>Mağaza D</v>
      </c>
      <c r="B8" s="33" t="n">
        <f aca="false">IF(Genel_Tablo!E8="","",IF(IF(Hedefler!$D$4="≥",Genel_Tablo!E8&gt;=Hedefler!$E$4,Genel_Tablo!E8&lt;=Hedefler!$E$4),Hedefler!$F$4,0))</f>
        <v>15</v>
      </c>
      <c r="C8" s="33" t="n">
        <f aca="false">IF(Genel_Tablo!G8="","",IF(IF(Hedefler!$D$5="≥",Genel_Tablo!G8&gt;=Hedefler!$E$5,Genel_Tablo!G8&lt;=Hedefler!$E$5),Hedefler!$F$5,0))</f>
        <v>0</v>
      </c>
      <c r="D8" s="33" t="n">
        <f aca="false">IF(Genel_Tablo!H8="","",IF(IF(Hedefler!$D$6="≥",Genel_Tablo!H8&gt;=Hedefler!$E$6,Genel_Tablo!H8&lt;=Hedefler!$E$6),Hedefler!$F$6,0))</f>
        <v>0</v>
      </c>
      <c r="E8" s="33" t="n">
        <f aca="false">IF(Genel_Tablo!I8="","",IF(IF(Hedefler!$D$7="≥",Genel_Tablo!I8&gt;=Hedefler!$E$7,Genel_Tablo!I8&lt;=Hedefler!$E$7),Hedefler!$F$7,0))</f>
        <v>5</v>
      </c>
      <c r="F8" s="33" t="n">
        <f aca="false">IF(Genel_Tablo!J8="","",IF(IF(Hedefler!$D$8="≥",Genel_Tablo!J8&gt;=Hedefler!$E$8,Genel_Tablo!J8&lt;=Hedefler!$E$8),Hedefler!$F$8,0))</f>
        <v>5</v>
      </c>
      <c r="G8" s="33" t="n">
        <f aca="false">IF(Genel_Tablo!L8="","",IF(IF(Hedefler!$D$9="≥",Genel_Tablo!L8&gt;=Hedefler!$E$9,Genel_Tablo!L8&lt;=Hedefler!$E$9),Hedefler!$F$9,0))</f>
        <v>0</v>
      </c>
      <c r="H8" s="33" t="n">
        <f aca="false">IF(Genel_Tablo!N8="","",IF(IF(Hedefler!$D$10="≥",Genel_Tablo!N8&gt;=Hedefler!$E$10,Genel_Tablo!N8&lt;=Hedefler!$E$10),Hedefler!$F$10,0))</f>
        <v>0</v>
      </c>
      <c r="I8" s="33" t="n">
        <f aca="false">IF(Genel_Tablo!O8="","",IF(IF(Hedefler!$D$11="≥",Genel_Tablo!O8&gt;=Hedefler!$E$11,Genel_Tablo!O8&lt;=Hedefler!$E$11),Hedefler!$F$11,0))</f>
        <v>6</v>
      </c>
      <c r="J8" s="33" t="n">
        <f aca="false">IF(Genel_Tablo!P8="","",IF(IF(Hedefler!$D$12="≥",Genel_Tablo!P8&gt;=Hedefler!$E$12,Genel_Tablo!P8&lt;=Hedefler!$E$12),Hedefler!$F$12,0))</f>
        <v>0</v>
      </c>
      <c r="K8" s="33" t="n">
        <f aca="false">IF(Genel_Tablo!Q8="","",IF(IF(Hedefler!$D$13="≥",Genel_Tablo!Q8&gt;=Hedefler!$E$13,Genel_Tablo!Q8&lt;=Hedefler!$E$13),Hedefler!$F$13,0))</f>
        <v>0</v>
      </c>
      <c r="L8" s="33" t="n">
        <f aca="false">IF(Genel_Tablo!R8="","",IF(IF(Hedefler!$D$14="≥",Genel_Tablo!R8&gt;=Hedefler!$E$14,Genel_Tablo!R8&lt;=Hedefler!$E$14),Hedefler!$F$14,0))</f>
        <v>6</v>
      </c>
      <c r="M8" s="33" t="n">
        <f aca="false">IF(Genel_Tablo!S8="","",IF(IF(Hedefler!$D$15="≥",Genel_Tablo!S8&gt;=Hedefler!$E$15,Genel_Tablo!S8&lt;=Hedefler!$E$15),Hedefler!$F$15,0))</f>
        <v>4</v>
      </c>
      <c r="N8" s="33" t="n">
        <f aca="false">IF(Genel_Tablo!T8="","",IF(IF(Hedefler!$D$16="≥",Genel_Tablo!T8&gt;=Hedefler!$E$16,Genel_Tablo!T8&lt;=Hedefler!$E$16),Hedefler!$F$16,0))</f>
        <v>0</v>
      </c>
      <c r="O8" s="33" t="n">
        <f aca="false">IF(Genel_Tablo!U8="","",IF(IF(Hedefler!$D$17="≥",Genel_Tablo!U8&gt;=Hedefler!$E$17,Genel_Tablo!U8&lt;=Hedefler!$E$17),Hedefler!$F$17,0))</f>
        <v>0</v>
      </c>
      <c r="P8" s="33" t="n">
        <f aca="false">IF(Genel_Tablo!V8="","",IF(IF(Hedefler!$D$18="≥",Genel_Tablo!V8&gt;=Hedefler!$E$18,Genel_Tablo!V8&lt;=Hedefler!$E$18),Hedefler!$F$18,0))</f>
        <v>0</v>
      </c>
      <c r="Q8" s="33" t="n">
        <f aca="false">IF(Genel_Tablo!W8="","",IF(IF(Hedefler!$D$19="≥",Genel_Tablo!W8&gt;=Hedefler!$E$19,Genel_Tablo!W8&lt;=Hedefler!$E$19),Hedefler!$F$19,0))</f>
        <v>0</v>
      </c>
      <c r="S8" s="34" t="n">
        <f aca="false">SUM(B8:Q8)</f>
        <v>41</v>
      </c>
    </row>
    <row r="9" customFormat="false" ht="15" hidden="false" customHeight="false" outlineLevel="0" collapsed="false">
      <c r="A9" s="32" t="str">
        <f aca="false">Genel_Tablo!A9</f>
        <v>Mağaza E</v>
      </c>
      <c r="B9" s="33" t="n">
        <f aca="false">IF(Genel_Tablo!E9="","",IF(IF(Hedefler!$D$4="≥",Genel_Tablo!E9&gt;=Hedefler!$E$4,Genel_Tablo!E9&lt;=Hedefler!$E$4),Hedefler!$F$4,0))</f>
        <v>15</v>
      </c>
      <c r="C9" s="33" t="n">
        <f aca="false">IF(Genel_Tablo!G9="","",IF(IF(Hedefler!$D$5="≥",Genel_Tablo!G9&gt;=Hedefler!$E$5,Genel_Tablo!G9&lt;=Hedefler!$E$5),Hedefler!$F$5,0))</f>
        <v>15</v>
      </c>
      <c r="D9" s="33" t="n">
        <f aca="false">IF(Genel_Tablo!H9="","",IF(IF(Hedefler!$D$6="≥",Genel_Tablo!H9&gt;=Hedefler!$E$6,Genel_Tablo!H9&lt;=Hedefler!$E$6),Hedefler!$F$6,0))</f>
        <v>0</v>
      </c>
      <c r="E9" s="33" t="n">
        <f aca="false">IF(Genel_Tablo!I9="","",IF(IF(Hedefler!$D$7="≥",Genel_Tablo!I9&gt;=Hedefler!$E$7,Genel_Tablo!I9&lt;=Hedefler!$E$7),Hedefler!$F$7,0))</f>
        <v>5</v>
      </c>
      <c r="F9" s="33" t="n">
        <f aca="false">IF(Genel_Tablo!J9="","",IF(IF(Hedefler!$D$8="≥",Genel_Tablo!J9&gt;=Hedefler!$E$8,Genel_Tablo!J9&lt;=Hedefler!$E$8),Hedefler!$F$8,0))</f>
        <v>5</v>
      </c>
      <c r="G9" s="33" t="n">
        <f aca="false">IF(Genel_Tablo!L9="","",IF(IF(Hedefler!$D$9="≥",Genel_Tablo!L9&gt;=Hedefler!$E$9,Genel_Tablo!L9&lt;=Hedefler!$E$9),Hedefler!$F$9,0))</f>
        <v>4</v>
      </c>
      <c r="H9" s="33" t="n">
        <f aca="false">IF(Genel_Tablo!N9="","",IF(IF(Hedefler!$D$10="≥",Genel_Tablo!N9&gt;=Hedefler!$E$10,Genel_Tablo!N9&lt;=Hedefler!$E$10),Hedefler!$F$10,0))</f>
        <v>0</v>
      </c>
      <c r="I9" s="33" t="n">
        <f aca="false">IF(Genel_Tablo!O9="","",IF(IF(Hedefler!$D$11="≥",Genel_Tablo!O9&gt;=Hedefler!$E$11,Genel_Tablo!O9&lt;=Hedefler!$E$11),Hedefler!$F$11,0))</f>
        <v>6</v>
      </c>
      <c r="J9" s="33" t="n">
        <f aca="false">IF(Genel_Tablo!P9="","",IF(IF(Hedefler!$D$12="≥",Genel_Tablo!P9&gt;=Hedefler!$E$12,Genel_Tablo!P9&lt;=Hedefler!$E$12),Hedefler!$F$12,0))</f>
        <v>0</v>
      </c>
      <c r="K9" s="33" t="n">
        <f aca="false">IF(Genel_Tablo!Q9="","",IF(IF(Hedefler!$D$13="≥",Genel_Tablo!Q9&gt;=Hedefler!$E$13,Genel_Tablo!Q9&lt;=Hedefler!$E$13),Hedefler!$F$13,0))</f>
        <v>0</v>
      </c>
      <c r="L9" s="33" t="n">
        <f aca="false">IF(Genel_Tablo!R9="","",IF(IF(Hedefler!$D$14="≥",Genel_Tablo!R9&gt;=Hedefler!$E$14,Genel_Tablo!R9&lt;=Hedefler!$E$14),Hedefler!$F$14,0))</f>
        <v>6</v>
      </c>
      <c r="M9" s="33" t="n">
        <f aca="false">IF(Genel_Tablo!S9="","",IF(IF(Hedefler!$D$15="≥",Genel_Tablo!S9&gt;=Hedefler!$E$15,Genel_Tablo!S9&lt;=Hedefler!$E$15),Hedefler!$F$15,0))</f>
        <v>0</v>
      </c>
      <c r="N9" s="33" t="n">
        <f aca="false">IF(Genel_Tablo!T9="","",IF(IF(Hedefler!$D$16="≥",Genel_Tablo!T9&gt;=Hedefler!$E$16,Genel_Tablo!T9&lt;=Hedefler!$E$16),Hedefler!$F$16,0))</f>
        <v>4</v>
      </c>
      <c r="O9" s="33" t="n">
        <f aca="false">IF(Genel_Tablo!U9="","",IF(IF(Hedefler!$D$17="≥",Genel_Tablo!U9&gt;=Hedefler!$E$17,Genel_Tablo!U9&lt;=Hedefler!$E$17),Hedefler!$F$17,0))</f>
        <v>4</v>
      </c>
      <c r="P9" s="33" t="n">
        <f aca="false">IF(Genel_Tablo!V9="","",IF(IF(Hedefler!$D$18="≥",Genel_Tablo!V9&gt;=Hedefler!$E$18,Genel_Tablo!V9&lt;=Hedefler!$E$18),Hedefler!$F$18,0))</f>
        <v>3</v>
      </c>
      <c r="Q9" s="33" t="n">
        <f aca="false">IF(Genel_Tablo!W9="","",IF(IF(Hedefler!$D$19="≥",Genel_Tablo!W9&gt;=Hedefler!$E$19,Genel_Tablo!W9&lt;=Hedefler!$E$19),Hedefler!$F$19,0))</f>
        <v>0</v>
      </c>
      <c r="S9" s="34" t="n">
        <f aca="false">SUM(B9:Q9)</f>
        <v>67</v>
      </c>
    </row>
    <row r="10" customFormat="false" ht="15" hidden="false" customHeight="false" outlineLevel="0" collapsed="false">
      <c r="A10" s="32" t="str">
        <f aca="false">Genel_Tablo!A10</f>
        <v>Mağaza F</v>
      </c>
      <c r="B10" s="33" t="n">
        <f aca="false">IF(Genel_Tablo!E10="","",IF(IF(Hedefler!$D$4="≥",Genel_Tablo!E10&gt;=Hedefler!$E$4,Genel_Tablo!E10&lt;=Hedefler!$E$4),Hedefler!$F$4,0))</f>
        <v>0</v>
      </c>
      <c r="C10" s="33" t="n">
        <f aca="false">IF(Genel_Tablo!G10="","",IF(IF(Hedefler!$D$5="≥",Genel_Tablo!G10&gt;=Hedefler!$E$5,Genel_Tablo!G10&lt;=Hedefler!$E$5),Hedefler!$F$5,0))</f>
        <v>0</v>
      </c>
      <c r="D10" s="33" t="n">
        <f aca="false">IF(Genel_Tablo!H10="","",IF(IF(Hedefler!$D$6="≥",Genel_Tablo!H10&gt;=Hedefler!$E$6,Genel_Tablo!H10&lt;=Hedefler!$E$6),Hedefler!$F$6,0))</f>
        <v>8</v>
      </c>
      <c r="E10" s="33" t="n">
        <f aca="false">IF(Genel_Tablo!I10="","",IF(IF(Hedefler!$D$7="≥",Genel_Tablo!I10&gt;=Hedefler!$E$7,Genel_Tablo!I10&lt;=Hedefler!$E$7),Hedefler!$F$7,0))</f>
        <v>0</v>
      </c>
      <c r="F10" s="33" t="n">
        <f aca="false">IF(Genel_Tablo!J10="","",IF(IF(Hedefler!$D$8="≥",Genel_Tablo!J10&gt;=Hedefler!$E$8,Genel_Tablo!J10&lt;=Hedefler!$E$8),Hedefler!$F$8,0))</f>
        <v>5</v>
      </c>
      <c r="G10" s="33" t="n">
        <f aca="false">IF(Genel_Tablo!L10="","",IF(IF(Hedefler!$D$9="≥",Genel_Tablo!L10&gt;=Hedefler!$E$9,Genel_Tablo!L10&lt;=Hedefler!$E$9),Hedefler!$F$9,0))</f>
        <v>0</v>
      </c>
      <c r="H10" s="33" t="n">
        <f aca="false">IF(Genel_Tablo!N10="","",IF(IF(Hedefler!$D$10="≥",Genel_Tablo!N10&gt;=Hedefler!$E$10,Genel_Tablo!N10&lt;=Hedefler!$E$10),Hedefler!$F$10,0))</f>
        <v>0</v>
      </c>
      <c r="I10" s="33" t="n">
        <f aca="false">IF(Genel_Tablo!O10="","",IF(IF(Hedefler!$D$11="≥",Genel_Tablo!O10&gt;=Hedefler!$E$11,Genel_Tablo!O10&lt;=Hedefler!$E$11),Hedefler!$F$11,0))</f>
        <v>6</v>
      </c>
      <c r="J10" s="33" t="n">
        <f aca="false">IF(Genel_Tablo!P10="","",IF(IF(Hedefler!$D$12="≥",Genel_Tablo!P10&gt;=Hedefler!$E$12,Genel_Tablo!P10&lt;=Hedefler!$E$12),Hedefler!$F$12,0))</f>
        <v>6</v>
      </c>
      <c r="K10" s="33" t="n">
        <f aca="false">IF(Genel_Tablo!Q10="","",IF(IF(Hedefler!$D$13="≥",Genel_Tablo!Q10&gt;=Hedefler!$E$13,Genel_Tablo!Q10&lt;=Hedefler!$E$13),Hedefler!$F$13,0))</f>
        <v>6</v>
      </c>
      <c r="L10" s="33" t="n">
        <f aca="false">IF(Genel_Tablo!R10="","",IF(IF(Hedefler!$D$14="≥",Genel_Tablo!R10&gt;=Hedefler!$E$14,Genel_Tablo!R10&lt;=Hedefler!$E$14),Hedefler!$F$14,0))</f>
        <v>6</v>
      </c>
      <c r="M10" s="33" t="n">
        <f aca="false">IF(Genel_Tablo!S10="","",IF(IF(Hedefler!$D$15="≥",Genel_Tablo!S10&gt;=Hedefler!$E$15,Genel_Tablo!S10&lt;=Hedefler!$E$15),Hedefler!$F$15,0))</f>
        <v>4</v>
      </c>
      <c r="N10" s="33" t="n">
        <f aca="false">IF(Genel_Tablo!T10="","",IF(IF(Hedefler!$D$16="≥",Genel_Tablo!T10&gt;=Hedefler!$E$16,Genel_Tablo!T10&lt;=Hedefler!$E$16),Hedefler!$F$16,0))</f>
        <v>0</v>
      </c>
      <c r="O10" s="33" t="n">
        <f aca="false">IF(Genel_Tablo!U10="","",IF(IF(Hedefler!$D$17="≥",Genel_Tablo!U10&gt;=Hedefler!$E$17,Genel_Tablo!U10&lt;=Hedefler!$E$17),Hedefler!$F$17,0))</f>
        <v>0</v>
      </c>
      <c r="P10" s="33" t="n">
        <f aca="false">IF(Genel_Tablo!V10="","",IF(IF(Hedefler!$D$18="≥",Genel_Tablo!V10&gt;=Hedefler!$E$18,Genel_Tablo!V10&lt;=Hedefler!$E$18),Hedefler!$F$18,0))</f>
        <v>0</v>
      </c>
      <c r="Q10" s="33" t="n">
        <f aca="false">IF(Genel_Tablo!W10="","",IF(IF(Hedefler!$D$19="≥",Genel_Tablo!W10&gt;=Hedefler!$E$19,Genel_Tablo!W10&lt;=Hedefler!$E$19),Hedefler!$F$19,0))</f>
        <v>0</v>
      </c>
      <c r="S10" s="34" t="n">
        <f aca="false">SUM(B10:Q10)</f>
        <v>41</v>
      </c>
    </row>
    <row r="11" customFormat="false" ht="15" hidden="false" customHeight="false" outlineLevel="0" collapsed="false">
      <c r="A11" s="32" t="str">
        <f aca="false">Genel_Tablo!A11</f>
        <v>Mağaza G</v>
      </c>
      <c r="B11" s="33" t="n">
        <f aca="false">IF(Genel_Tablo!E11="","",IF(IF(Hedefler!$D$4="≥",Genel_Tablo!E11&gt;=Hedefler!$E$4,Genel_Tablo!E11&lt;=Hedefler!$E$4),Hedefler!$F$4,0))</f>
        <v>15</v>
      </c>
      <c r="C11" s="33" t="n">
        <f aca="false">IF(Genel_Tablo!G11="","",IF(IF(Hedefler!$D$5="≥",Genel_Tablo!G11&gt;=Hedefler!$E$5,Genel_Tablo!G11&lt;=Hedefler!$E$5),Hedefler!$F$5,0))</f>
        <v>15</v>
      </c>
      <c r="D11" s="33" t="n">
        <f aca="false">IF(Genel_Tablo!H11="","",IF(IF(Hedefler!$D$6="≥",Genel_Tablo!H11&gt;=Hedefler!$E$6,Genel_Tablo!H11&lt;=Hedefler!$E$6),Hedefler!$F$6,0))</f>
        <v>8</v>
      </c>
      <c r="E11" s="33" t="n">
        <f aca="false">IF(Genel_Tablo!I11="","",IF(IF(Hedefler!$D$7="≥",Genel_Tablo!I11&gt;=Hedefler!$E$7,Genel_Tablo!I11&lt;=Hedefler!$E$7),Hedefler!$F$7,0))</f>
        <v>5</v>
      </c>
      <c r="F11" s="33" t="n">
        <f aca="false">IF(Genel_Tablo!J11="","",IF(IF(Hedefler!$D$8="≥",Genel_Tablo!J11&gt;=Hedefler!$E$8,Genel_Tablo!J11&lt;=Hedefler!$E$8),Hedefler!$F$8,0))</f>
        <v>5</v>
      </c>
      <c r="G11" s="33" t="n">
        <f aca="false">IF(Genel_Tablo!L11="","",IF(IF(Hedefler!$D$9="≥",Genel_Tablo!L11&gt;=Hedefler!$E$9,Genel_Tablo!L11&lt;=Hedefler!$E$9),Hedefler!$F$9,0))</f>
        <v>4</v>
      </c>
      <c r="H11" s="33" t="n">
        <f aca="false">IF(Genel_Tablo!N11="","",IF(IF(Hedefler!$D$10="≥",Genel_Tablo!N11&gt;=Hedefler!$E$10,Genel_Tablo!N11&lt;=Hedefler!$E$10),Hedefler!$F$10,0))</f>
        <v>0</v>
      </c>
      <c r="I11" s="33" t="n">
        <f aca="false">IF(Genel_Tablo!O11="","",IF(IF(Hedefler!$D$11="≥",Genel_Tablo!O11&gt;=Hedefler!$E$11,Genel_Tablo!O11&lt;=Hedefler!$E$11),Hedefler!$F$11,0))</f>
        <v>6</v>
      </c>
      <c r="J11" s="33" t="n">
        <f aca="false">IF(Genel_Tablo!P11="","",IF(IF(Hedefler!$D$12="≥",Genel_Tablo!P11&gt;=Hedefler!$E$12,Genel_Tablo!P11&lt;=Hedefler!$E$12),Hedefler!$F$12,0))</f>
        <v>6</v>
      </c>
      <c r="K11" s="33" t="n">
        <f aca="false">IF(Genel_Tablo!Q11="","",IF(IF(Hedefler!$D$13="≥",Genel_Tablo!Q11&gt;=Hedefler!$E$13,Genel_Tablo!Q11&lt;=Hedefler!$E$13),Hedefler!$F$13,0))</f>
        <v>0</v>
      </c>
      <c r="L11" s="33" t="n">
        <f aca="false">IF(Genel_Tablo!R11="","",IF(IF(Hedefler!$D$14="≥",Genel_Tablo!R11&gt;=Hedefler!$E$14,Genel_Tablo!R11&lt;=Hedefler!$E$14),Hedefler!$F$14,0))</f>
        <v>6</v>
      </c>
      <c r="M11" s="33" t="n">
        <f aca="false">IF(Genel_Tablo!S11="","",IF(IF(Hedefler!$D$15="≥",Genel_Tablo!S11&gt;=Hedefler!$E$15,Genel_Tablo!S11&lt;=Hedefler!$E$15),Hedefler!$F$15,0))</f>
        <v>4</v>
      </c>
      <c r="N11" s="33" t="n">
        <f aca="false">IF(Genel_Tablo!T11="","",IF(IF(Hedefler!$D$16="≥",Genel_Tablo!T11&gt;=Hedefler!$E$16,Genel_Tablo!T11&lt;=Hedefler!$E$16),Hedefler!$F$16,0))</f>
        <v>0</v>
      </c>
      <c r="O11" s="33" t="n">
        <f aca="false">IF(Genel_Tablo!U11="","",IF(IF(Hedefler!$D$17="≥",Genel_Tablo!U11&gt;=Hedefler!$E$17,Genel_Tablo!U11&lt;=Hedefler!$E$17),Hedefler!$F$17,0))</f>
        <v>4</v>
      </c>
      <c r="P11" s="33" t="n">
        <f aca="false">IF(Genel_Tablo!V11="","",IF(IF(Hedefler!$D$18="≥",Genel_Tablo!V11&gt;=Hedefler!$E$18,Genel_Tablo!V11&lt;=Hedefler!$E$18),Hedefler!$F$18,0))</f>
        <v>0</v>
      </c>
      <c r="Q11" s="33" t="n">
        <f aca="false">IF(Genel_Tablo!W11="","",IF(IF(Hedefler!$D$19="≥",Genel_Tablo!W11&gt;=Hedefler!$E$19,Genel_Tablo!W11&lt;=Hedefler!$E$19),Hedefler!$F$19,0))</f>
        <v>0</v>
      </c>
      <c r="S11" s="34" t="n">
        <f aca="false">SUM(B11:Q11)</f>
        <v>78</v>
      </c>
    </row>
    <row r="12" customFormat="false" ht="15" hidden="false" customHeight="false" outlineLevel="0" collapsed="false">
      <c r="A12" s="32" t="str">
        <f aca="false">Genel_Tablo!A12</f>
        <v>Mağaza H</v>
      </c>
      <c r="B12" s="33" t="n">
        <f aca="false">IF(Genel_Tablo!E12="","",IF(IF(Hedefler!$D$4="≥",Genel_Tablo!E12&gt;=Hedefler!$E$4,Genel_Tablo!E12&lt;=Hedefler!$E$4),Hedefler!$F$4,0))</f>
        <v>0</v>
      </c>
      <c r="C12" s="33" t="n">
        <f aca="false">IF(Genel_Tablo!G12="","",IF(IF(Hedefler!$D$5="≥",Genel_Tablo!G12&gt;=Hedefler!$E$5,Genel_Tablo!G12&lt;=Hedefler!$E$5),Hedefler!$F$5,0))</f>
        <v>15</v>
      </c>
      <c r="D12" s="33" t="n">
        <f aca="false">IF(Genel_Tablo!H12="","",IF(IF(Hedefler!$D$6="≥",Genel_Tablo!H12&gt;=Hedefler!$E$6,Genel_Tablo!H12&lt;=Hedefler!$E$6),Hedefler!$F$6,0))</f>
        <v>8</v>
      </c>
      <c r="E12" s="33" t="n">
        <f aca="false">IF(Genel_Tablo!I12="","",IF(IF(Hedefler!$D$7="≥",Genel_Tablo!I12&gt;=Hedefler!$E$7,Genel_Tablo!I12&lt;=Hedefler!$E$7),Hedefler!$F$7,0))</f>
        <v>0</v>
      </c>
      <c r="F12" s="33" t="n">
        <f aca="false">IF(Genel_Tablo!J12="","",IF(IF(Hedefler!$D$8="≥",Genel_Tablo!J12&gt;=Hedefler!$E$8,Genel_Tablo!J12&lt;=Hedefler!$E$8),Hedefler!$F$8,0))</f>
        <v>5</v>
      </c>
      <c r="G12" s="33" t="n">
        <f aca="false">IF(Genel_Tablo!L12="","",IF(IF(Hedefler!$D$9="≥",Genel_Tablo!L12&gt;=Hedefler!$E$9,Genel_Tablo!L12&lt;=Hedefler!$E$9),Hedefler!$F$9,0))</f>
        <v>4</v>
      </c>
      <c r="H12" s="33" t="n">
        <f aca="false">IF(Genel_Tablo!N12="","",IF(IF(Hedefler!$D$10="≥",Genel_Tablo!N12&gt;=Hedefler!$E$10,Genel_Tablo!N12&lt;=Hedefler!$E$10),Hedefler!$F$10,0))</f>
        <v>6</v>
      </c>
      <c r="I12" s="33" t="n">
        <f aca="false">IF(Genel_Tablo!O12="","",IF(IF(Hedefler!$D$11="≥",Genel_Tablo!O12&gt;=Hedefler!$E$11,Genel_Tablo!O12&lt;=Hedefler!$E$11),Hedefler!$F$11,0))</f>
        <v>6</v>
      </c>
      <c r="J12" s="33" t="n">
        <f aca="false">IF(Genel_Tablo!P12="","",IF(IF(Hedefler!$D$12="≥",Genel_Tablo!P12&gt;=Hedefler!$E$12,Genel_Tablo!P12&lt;=Hedefler!$E$12),Hedefler!$F$12,0))</f>
        <v>0</v>
      </c>
      <c r="K12" s="33" t="n">
        <f aca="false">IF(Genel_Tablo!Q12="","",IF(IF(Hedefler!$D$13="≥",Genel_Tablo!Q12&gt;=Hedefler!$E$13,Genel_Tablo!Q12&lt;=Hedefler!$E$13),Hedefler!$F$13,0))</f>
        <v>6</v>
      </c>
      <c r="L12" s="33" t="n">
        <f aca="false">IF(Genel_Tablo!R12="","",IF(IF(Hedefler!$D$14="≥",Genel_Tablo!R12&gt;=Hedefler!$E$14,Genel_Tablo!R12&lt;=Hedefler!$E$14),Hedefler!$F$14,0))</f>
        <v>6</v>
      </c>
      <c r="M12" s="33" t="n">
        <f aca="false">IF(Genel_Tablo!S12="","",IF(IF(Hedefler!$D$15="≥",Genel_Tablo!S12&gt;=Hedefler!$E$15,Genel_Tablo!S12&lt;=Hedefler!$E$15),Hedefler!$F$15,0))</f>
        <v>0</v>
      </c>
      <c r="N12" s="33" t="n">
        <f aca="false">IF(Genel_Tablo!T12="","",IF(IF(Hedefler!$D$16="≥",Genel_Tablo!T12&gt;=Hedefler!$E$16,Genel_Tablo!T12&lt;=Hedefler!$E$16),Hedefler!$F$16,0))</f>
        <v>0</v>
      </c>
      <c r="O12" s="33" t="n">
        <f aca="false">IF(Genel_Tablo!U12="","",IF(IF(Hedefler!$D$17="≥",Genel_Tablo!U12&gt;=Hedefler!$E$17,Genel_Tablo!U12&lt;=Hedefler!$E$17),Hedefler!$F$17,0))</f>
        <v>0</v>
      </c>
      <c r="P12" s="33" t="n">
        <f aca="false">IF(Genel_Tablo!V12="","",IF(IF(Hedefler!$D$18="≥",Genel_Tablo!V12&gt;=Hedefler!$E$18,Genel_Tablo!V12&lt;=Hedefler!$E$18),Hedefler!$F$18,0))</f>
        <v>3</v>
      </c>
      <c r="Q12" s="33" t="n">
        <f aca="false">IF(Genel_Tablo!W12="","",IF(IF(Hedefler!$D$19="≥",Genel_Tablo!W12&gt;=Hedefler!$E$19,Genel_Tablo!W12&lt;=Hedefler!$E$19),Hedefler!$F$19,0))</f>
        <v>3</v>
      </c>
      <c r="S12" s="34" t="n">
        <f aca="false">SUM(B12:Q12)</f>
        <v>62</v>
      </c>
    </row>
  </sheetData>
  <conditionalFormatting sqref="B5:Q12">
    <cfRule type="expression" priority="2" aboveAverage="0" equalAverage="0" bottom="0" percent="0" rank="0" text="" dxfId="0">
      <formula>AND(B5&lt;&gt;"",B5&gt;0)</formula>
    </cfRule>
    <cfRule type="expression" priority="3" aboveAverage="0" equalAverage="0" bottom="0" percent="0" rank="0" text="" dxfId="1">
      <formula>B5=0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9"/>
  </cols>
  <sheetData>
    <row r="1" customFormat="false" ht="16.15" hidden="false" customHeight="false" outlineLevel="0" collapsed="false">
      <c r="A1" s="1" t="s">
        <v>83</v>
      </c>
    </row>
    <row r="3" customFormat="false" ht="31.5" hidden="false" customHeight="true" outlineLevel="0" collapsed="false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25</v>
      </c>
      <c r="F3" s="10" t="s">
        <v>69</v>
      </c>
    </row>
    <row r="4" customFormat="false" ht="15" hidden="false" customHeight="false" outlineLevel="0" collapsed="false">
      <c r="A4" s="20" t="s">
        <v>70</v>
      </c>
      <c r="B4" s="20" t="s">
        <v>88</v>
      </c>
      <c r="C4" s="20" t="s">
        <v>89</v>
      </c>
      <c r="D4" s="11" t="s">
        <v>90</v>
      </c>
      <c r="E4" s="35" t="n">
        <v>0</v>
      </c>
      <c r="F4" s="11" t="n">
        <v>15</v>
      </c>
    </row>
    <row r="5" customFormat="false" ht="15" hidden="false" customHeight="false" outlineLevel="0" collapsed="false">
      <c r="A5" s="20" t="s">
        <v>71</v>
      </c>
      <c r="B5" s="20" t="s">
        <v>91</v>
      </c>
      <c r="C5" s="20" t="s">
        <v>89</v>
      </c>
      <c r="D5" s="11" t="s">
        <v>90</v>
      </c>
      <c r="E5" s="35" t="n">
        <v>0</v>
      </c>
      <c r="F5" s="11" t="n">
        <v>15</v>
      </c>
    </row>
    <row r="6" customFormat="false" ht="15" hidden="false" customHeight="false" outlineLevel="0" collapsed="false">
      <c r="A6" s="20" t="s">
        <v>18</v>
      </c>
      <c r="B6" s="20" t="s">
        <v>92</v>
      </c>
      <c r="C6" s="20" t="s">
        <v>89</v>
      </c>
      <c r="D6" s="11" t="s">
        <v>90</v>
      </c>
      <c r="E6" s="35" t="n">
        <v>0.14</v>
      </c>
      <c r="F6" s="11" t="n">
        <v>8</v>
      </c>
    </row>
    <row r="7" customFormat="false" ht="15" hidden="false" customHeight="false" outlineLevel="0" collapsed="false">
      <c r="A7" s="20" t="s">
        <v>72</v>
      </c>
      <c r="B7" s="20" t="s">
        <v>93</v>
      </c>
      <c r="C7" s="20" t="s">
        <v>89</v>
      </c>
      <c r="D7" s="11" t="s">
        <v>94</v>
      </c>
      <c r="E7" s="35" t="n">
        <v>0.07</v>
      </c>
      <c r="F7" s="11" t="n">
        <v>5</v>
      </c>
    </row>
    <row r="8" customFormat="false" ht="15" hidden="false" customHeight="false" outlineLevel="0" collapsed="false">
      <c r="A8" s="20" t="s">
        <v>73</v>
      </c>
      <c r="B8" s="20" t="s">
        <v>95</v>
      </c>
      <c r="C8" s="20" t="s">
        <v>89</v>
      </c>
      <c r="D8" s="11" t="s">
        <v>90</v>
      </c>
      <c r="E8" s="35" t="n">
        <v>0.9</v>
      </c>
      <c r="F8" s="11" t="n">
        <v>5</v>
      </c>
    </row>
    <row r="9" customFormat="false" ht="15" hidden="false" customHeight="false" outlineLevel="0" collapsed="false">
      <c r="A9" s="20" t="s">
        <v>74</v>
      </c>
      <c r="B9" s="20" t="s">
        <v>96</v>
      </c>
      <c r="C9" s="20" t="s">
        <v>89</v>
      </c>
      <c r="D9" s="11" t="s">
        <v>90</v>
      </c>
      <c r="E9" s="35" t="n">
        <v>0.18</v>
      </c>
      <c r="F9" s="11" t="n">
        <v>4</v>
      </c>
    </row>
    <row r="10" customFormat="false" ht="15" hidden="false" customHeight="false" outlineLevel="0" collapsed="false">
      <c r="A10" s="20" t="s">
        <v>75</v>
      </c>
      <c r="B10" s="20" t="s">
        <v>97</v>
      </c>
      <c r="C10" s="20" t="s">
        <v>98</v>
      </c>
      <c r="D10" s="11" t="s">
        <v>90</v>
      </c>
      <c r="E10" s="36" t="n">
        <v>0</v>
      </c>
      <c r="F10" s="11" t="n">
        <v>6</v>
      </c>
    </row>
    <row r="11" customFormat="false" ht="15" hidden="false" customHeight="false" outlineLevel="0" collapsed="false">
      <c r="A11" s="20" t="s">
        <v>76</v>
      </c>
      <c r="B11" s="20" t="s">
        <v>99</v>
      </c>
      <c r="C11" s="20" t="s">
        <v>89</v>
      </c>
      <c r="D11" s="11" t="s">
        <v>94</v>
      </c>
      <c r="E11" s="35" t="n">
        <v>0.08</v>
      </c>
      <c r="F11" s="11" t="n">
        <v>6</v>
      </c>
    </row>
    <row r="12" customFormat="false" ht="15" hidden="false" customHeight="false" outlineLevel="0" collapsed="false">
      <c r="A12" s="20" t="s">
        <v>77</v>
      </c>
      <c r="B12" s="20" t="s">
        <v>100</v>
      </c>
      <c r="C12" s="20" t="s">
        <v>89</v>
      </c>
      <c r="D12" s="11" t="s">
        <v>90</v>
      </c>
      <c r="E12" s="37" t="n">
        <v>-0.005</v>
      </c>
      <c r="F12" s="11" t="n">
        <v>6</v>
      </c>
    </row>
    <row r="13" customFormat="false" ht="15" hidden="false" customHeight="false" outlineLevel="0" collapsed="false">
      <c r="A13" s="20" t="s">
        <v>78</v>
      </c>
      <c r="B13" s="20" t="s">
        <v>101</v>
      </c>
      <c r="C13" s="20" t="s">
        <v>89</v>
      </c>
      <c r="D13" s="11" t="s">
        <v>90</v>
      </c>
      <c r="E13" s="38" t="n">
        <v>0.95</v>
      </c>
      <c r="F13" s="11" t="n">
        <v>6</v>
      </c>
    </row>
    <row r="14" customFormat="false" ht="15" hidden="false" customHeight="false" outlineLevel="0" collapsed="false">
      <c r="A14" s="20" t="s">
        <v>79</v>
      </c>
      <c r="B14" s="20" t="s">
        <v>102</v>
      </c>
      <c r="C14" s="20" t="s">
        <v>89</v>
      </c>
      <c r="D14" s="11" t="s">
        <v>94</v>
      </c>
      <c r="E14" s="38" t="n">
        <v>0.5</v>
      </c>
      <c r="F14" s="11" t="n">
        <v>6</v>
      </c>
    </row>
    <row r="15" customFormat="false" ht="15" hidden="false" customHeight="false" outlineLevel="0" collapsed="false">
      <c r="A15" s="20" t="s">
        <v>80</v>
      </c>
      <c r="B15" s="20" t="s">
        <v>103</v>
      </c>
      <c r="C15" s="20" t="s">
        <v>104</v>
      </c>
      <c r="D15" s="11" t="s">
        <v>90</v>
      </c>
      <c r="E15" s="39" t="n">
        <v>0</v>
      </c>
      <c r="F15" s="11" t="n">
        <v>4</v>
      </c>
    </row>
    <row r="16" customFormat="false" ht="15" hidden="false" customHeight="false" outlineLevel="0" collapsed="false">
      <c r="A16" s="20" t="s">
        <v>81</v>
      </c>
      <c r="B16" s="20" t="s">
        <v>105</v>
      </c>
      <c r="C16" s="20" t="s">
        <v>106</v>
      </c>
      <c r="D16" s="11" t="s">
        <v>94</v>
      </c>
      <c r="E16" s="40" t="n">
        <v>0.3</v>
      </c>
      <c r="F16" s="11" t="n">
        <v>4</v>
      </c>
    </row>
    <row r="17" customFormat="false" ht="15" hidden="false" customHeight="false" outlineLevel="0" collapsed="false">
      <c r="A17" s="20" t="s">
        <v>46</v>
      </c>
      <c r="B17" s="20" t="s">
        <v>107</v>
      </c>
      <c r="C17" s="20" t="s">
        <v>98</v>
      </c>
      <c r="D17" s="11" t="s">
        <v>90</v>
      </c>
      <c r="E17" s="41" t="n">
        <v>90</v>
      </c>
      <c r="F17" s="11" t="n">
        <v>4</v>
      </c>
    </row>
    <row r="18" customFormat="false" ht="15" hidden="false" customHeight="false" outlineLevel="0" collapsed="false">
      <c r="A18" s="20" t="s">
        <v>47</v>
      </c>
      <c r="B18" s="20" t="s">
        <v>108</v>
      </c>
      <c r="C18" s="20" t="s">
        <v>98</v>
      </c>
      <c r="D18" s="11" t="s">
        <v>90</v>
      </c>
      <c r="E18" s="41" t="n">
        <v>85</v>
      </c>
      <c r="F18" s="11" t="n">
        <v>3</v>
      </c>
    </row>
    <row r="19" customFormat="false" ht="15" hidden="false" customHeight="false" outlineLevel="0" collapsed="false">
      <c r="A19" s="20" t="s">
        <v>48</v>
      </c>
      <c r="B19" s="20" t="s">
        <v>109</v>
      </c>
      <c r="C19" s="20" t="s">
        <v>98</v>
      </c>
      <c r="D19" s="11" t="s">
        <v>90</v>
      </c>
      <c r="E19" s="41" t="n">
        <v>90</v>
      </c>
      <c r="F19" s="11" t="n">
        <v>3</v>
      </c>
    </row>
    <row r="20" customFormat="false" ht="15" hidden="false" customHeight="false" outlineLevel="0" collapsed="false">
      <c r="E20" s="4" t="s">
        <v>110</v>
      </c>
      <c r="F20" s="4" t="n">
        <f aca="false">SUM(F4:F19)</f>
        <v>100</v>
      </c>
    </row>
    <row r="21" customFormat="false" ht="15" hidden="false" customHeight="false" outlineLevel="0" collapsed="false">
      <c r="A21" s="42" t="str">
        <f aca="false">IF(F20=100,"Katsayı toplamı 100.","UYARI: katsayı toplamı 100 değil.")</f>
        <v>Katsayı toplamı 100.</v>
      </c>
    </row>
    <row r="23" customFormat="false" ht="15" hidden="false" customHeight="false" outlineLevel="0" collapsed="false">
      <c r="A23" s="2" t="s">
        <v>111</v>
      </c>
    </row>
  </sheetData>
  <dataValidations count="1">
    <dataValidation allowBlank="false" errorStyle="stop" operator="between" showDropDown="false" showErrorMessage="false" showInputMessage="false" sqref="D4:D19" type="list">
      <formula1>"≥,≤"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7" min="4" style="0" width="15"/>
  </cols>
  <sheetData>
    <row r="1" customFormat="false" ht="31.5" hidden="false" customHeight="true" outlineLevel="0" collapsed="false">
      <c r="A1" s="10" t="s">
        <v>112</v>
      </c>
      <c r="B1" s="10" t="s">
        <v>113</v>
      </c>
      <c r="C1" s="10" t="s">
        <v>26</v>
      </c>
      <c r="D1" s="10" t="s">
        <v>28</v>
      </c>
      <c r="E1" s="10" t="s">
        <v>114</v>
      </c>
      <c r="F1" s="10" t="s">
        <v>29</v>
      </c>
      <c r="G1" s="10" t="s">
        <v>115</v>
      </c>
    </row>
    <row r="2" customFormat="false" ht="15" hidden="false" customHeight="false" outlineLevel="0" collapsed="false">
      <c r="A2" s="43" t="str">
        <f aca="false">B2&amp;"|"&amp;C2</f>
        <v>P1|Mağaza A</v>
      </c>
      <c r="B2" s="44" t="s">
        <v>116</v>
      </c>
      <c r="C2" s="44" t="s">
        <v>52</v>
      </c>
      <c r="D2" s="44" t="n">
        <v>689</v>
      </c>
      <c r="E2" s="44" t="n">
        <v>127.25</v>
      </c>
      <c r="F2" s="45" t="n">
        <v>2717933</v>
      </c>
      <c r="G2" s="45" t="n">
        <v>2851870</v>
      </c>
    </row>
    <row r="3" customFormat="false" ht="15" hidden="false" customHeight="false" outlineLevel="0" collapsed="false">
      <c r="A3" s="43" t="str">
        <f aca="false">B3&amp;"|"&amp;C3</f>
        <v>P1|Mağaza B</v>
      </c>
      <c r="B3" s="44" t="s">
        <v>116</v>
      </c>
      <c r="C3" s="44" t="s">
        <v>54</v>
      </c>
      <c r="D3" s="44" t="n">
        <v>501</v>
      </c>
      <c r="E3" s="44" t="n">
        <v>127.2</v>
      </c>
      <c r="F3" s="45" t="n">
        <v>1975543</v>
      </c>
      <c r="G3" s="45" t="n">
        <v>2110569</v>
      </c>
    </row>
    <row r="4" customFormat="false" ht="15" hidden="false" customHeight="false" outlineLevel="0" collapsed="false">
      <c r="A4" s="43" t="str">
        <f aca="false">B4&amp;"|"&amp;C4</f>
        <v>P1|Mağaza C</v>
      </c>
      <c r="B4" s="44" t="s">
        <v>116</v>
      </c>
      <c r="C4" s="44" t="s">
        <v>56</v>
      </c>
      <c r="D4" s="44" t="n">
        <v>361</v>
      </c>
      <c r="E4" s="44" t="n">
        <v>118.97</v>
      </c>
      <c r="F4" s="45" t="n">
        <v>1331393</v>
      </c>
      <c r="G4" s="45" t="n">
        <v>1426592</v>
      </c>
    </row>
    <row r="5" customFormat="false" ht="15" hidden="false" customHeight="false" outlineLevel="0" collapsed="false">
      <c r="A5" s="43" t="str">
        <f aca="false">B5&amp;"|"&amp;C5</f>
        <v>P1|Mağaza D</v>
      </c>
      <c r="B5" s="44" t="s">
        <v>116</v>
      </c>
      <c r="C5" s="44" t="s">
        <v>58</v>
      </c>
      <c r="D5" s="44" t="n">
        <v>852</v>
      </c>
      <c r="E5" s="44" t="n">
        <v>132.03</v>
      </c>
      <c r="F5" s="45" t="n">
        <v>3487176</v>
      </c>
      <c r="G5" s="45" t="n">
        <v>3302289</v>
      </c>
    </row>
    <row r="6" customFormat="false" ht="15" hidden="false" customHeight="false" outlineLevel="0" collapsed="false">
      <c r="A6" s="43" t="str">
        <f aca="false">B6&amp;"|"&amp;C6</f>
        <v>P1|Mağaza E</v>
      </c>
      <c r="B6" s="44" t="s">
        <v>116</v>
      </c>
      <c r="C6" s="44" t="s">
        <v>60</v>
      </c>
      <c r="D6" s="44" t="n">
        <v>569</v>
      </c>
      <c r="E6" s="44" t="n">
        <v>112.4</v>
      </c>
      <c r="F6" s="45" t="n">
        <v>1982624</v>
      </c>
      <c r="G6" s="45" t="n">
        <v>2005551</v>
      </c>
    </row>
    <row r="7" customFormat="false" ht="15" hidden="false" customHeight="false" outlineLevel="0" collapsed="false">
      <c r="A7" s="43" t="str">
        <f aca="false">B7&amp;"|"&amp;C7</f>
        <v>P1|Mağaza F</v>
      </c>
      <c r="B7" s="44" t="s">
        <v>116</v>
      </c>
      <c r="C7" s="44" t="s">
        <v>62</v>
      </c>
      <c r="D7" s="44" t="n">
        <v>526</v>
      </c>
      <c r="E7" s="44" t="n">
        <v>105.39</v>
      </c>
      <c r="F7" s="45" t="n">
        <v>1718489</v>
      </c>
      <c r="G7" s="45" t="n">
        <v>1654062</v>
      </c>
    </row>
    <row r="8" customFormat="false" ht="15" hidden="false" customHeight="false" outlineLevel="0" collapsed="false">
      <c r="A8" s="43" t="str">
        <f aca="false">B8&amp;"|"&amp;C8</f>
        <v>P1|Mağaza G</v>
      </c>
      <c r="B8" s="44" t="s">
        <v>116</v>
      </c>
      <c r="C8" s="44" t="s">
        <v>63</v>
      </c>
      <c r="D8" s="44" t="n">
        <v>401</v>
      </c>
      <c r="E8" s="44" t="n">
        <v>132.49</v>
      </c>
      <c r="F8" s="45" t="n">
        <v>1646983</v>
      </c>
      <c r="G8" s="45" t="n">
        <v>1720865</v>
      </c>
    </row>
    <row r="9" customFormat="false" ht="15" hidden="false" customHeight="false" outlineLevel="0" collapsed="false">
      <c r="A9" s="43" t="str">
        <f aca="false">B9&amp;"|"&amp;C9</f>
        <v>P1|Mağaza H</v>
      </c>
      <c r="B9" s="44" t="s">
        <v>116</v>
      </c>
      <c r="C9" s="44" t="s">
        <v>64</v>
      </c>
      <c r="D9" s="44" t="n">
        <v>467</v>
      </c>
      <c r="E9" s="44" t="n">
        <v>128.91</v>
      </c>
      <c r="F9" s="45" t="n">
        <v>1866230</v>
      </c>
      <c r="G9" s="45" t="n">
        <v>1774440</v>
      </c>
    </row>
    <row r="10" customFormat="false" ht="15" hidden="false" customHeight="false" outlineLevel="0" collapsed="false">
      <c r="A10" s="43" t="str">
        <f aca="false">B10&amp;"|"&amp;C10</f>
        <v>P2|Mağaza A</v>
      </c>
      <c r="B10" s="44" t="s">
        <v>117</v>
      </c>
      <c r="C10" s="44" t="s">
        <v>52</v>
      </c>
      <c r="D10" s="44" t="n">
        <v>689</v>
      </c>
      <c r="E10" s="44" t="n">
        <v>108.8</v>
      </c>
      <c r="F10" s="45" t="n">
        <v>2098970</v>
      </c>
      <c r="G10" s="45" t="n">
        <v>1952601</v>
      </c>
    </row>
    <row r="11" customFormat="false" ht="15" hidden="false" customHeight="false" outlineLevel="0" collapsed="false">
      <c r="A11" s="43" t="str">
        <f aca="false">B11&amp;"|"&amp;C11</f>
        <v>P2|Mağaza B</v>
      </c>
      <c r="B11" s="44" t="s">
        <v>117</v>
      </c>
      <c r="C11" s="44" t="s">
        <v>54</v>
      </c>
      <c r="D11" s="44" t="n">
        <v>496</v>
      </c>
      <c r="E11" s="44" t="n">
        <v>111.28</v>
      </c>
      <c r="F11" s="45" t="n">
        <v>1545457</v>
      </c>
      <c r="G11" s="45" t="n">
        <v>1487228</v>
      </c>
    </row>
    <row r="12" customFormat="false" ht="15" hidden="false" customHeight="false" outlineLevel="0" collapsed="false">
      <c r="A12" s="43" t="str">
        <f aca="false">B12&amp;"|"&amp;C12</f>
        <v>P2|Mağaza C</v>
      </c>
      <c r="B12" s="44" t="s">
        <v>117</v>
      </c>
      <c r="C12" s="44" t="s">
        <v>56</v>
      </c>
      <c r="D12" s="44" t="n">
        <v>420</v>
      </c>
      <c r="E12" s="44" t="n">
        <v>131.17</v>
      </c>
      <c r="F12" s="45" t="n">
        <v>1542559</v>
      </c>
      <c r="G12" s="45" t="n">
        <v>1501520</v>
      </c>
    </row>
    <row r="13" customFormat="false" ht="15" hidden="false" customHeight="false" outlineLevel="0" collapsed="false">
      <c r="A13" s="43" t="str">
        <f aca="false">B13&amp;"|"&amp;C13</f>
        <v>P2|Mağaza D</v>
      </c>
      <c r="B13" s="44" t="s">
        <v>117</v>
      </c>
      <c r="C13" s="44" t="s">
        <v>58</v>
      </c>
      <c r="D13" s="44" t="n">
        <v>893</v>
      </c>
      <c r="E13" s="44" t="n">
        <v>121.18</v>
      </c>
      <c r="F13" s="45" t="n">
        <v>3029985</v>
      </c>
      <c r="G13" s="45" t="n">
        <v>3125958</v>
      </c>
    </row>
    <row r="14" customFormat="false" ht="15" hidden="false" customHeight="false" outlineLevel="0" collapsed="false">
      <c r="A14" s="43" t="str">
        <f aca="false">B14&amp;"|"&amp;C14</f>
        <v>P2|Mağaza E</v>
      </c>
      <c r="B14" s="44" t="s">
        <v>117</v>
      </c>
      <c r="C14" s="44" t="s">
        <v>60</v>
      </c>
      <c r="D14" s="44" t="n">
        <v>545</v>
      </c>
      <c r="E14" s="44" t="n">
        <v>133.23</v>
      </c>
      <c r="F14" s="45" t="n">
        <v>2033090</v>
      </c>
      <c r="G14" s="45" t="n">
        <v>2101394</v>
      </c>
    </row>
    <row r="15" customFormat="false" ht="15" hidden="false" customHeight="false" outlineLevel="0" collapsed="false">
      <c r="A15" s="43" t="str">
        <f aca="false">B15&amp;"|"&amp;C15</f>
        <v>P2|Mağaza F</v>
      </c>
      <c r="B15" s="44" t="s">
        <v>117</v>
      </c>
      <c r="C15" s="44" t="s">
        <v>62</v>
      </c>
      <c r="D15" s="44" t="n">
        <v>559</v>
      </c>
      <c r="E15" s="44" t="n">
        <v>131.81</v>
      </c>
      <c r="F15" s="45" t="n">
        <v>2063090</v>
      </c>
      <c r="G15" s="45" t="n">
        <v>2011138</v>
      </c>
    </row>
    <row r="16" customFormat="false" ht="15" hidden="false" customHeight="false" outlineLevel="0" collapsed="false">
      <c r="A16" s="43" t="str">
        <f aca="false">B16&amp;"|"&amp;C16</f>
        <v>P2|Mağaza G</v>
      </c>
      <c r="B16" s="44" t="s">
        <v>117</v>
      </c>
      <c r="C16" s="44" t="s">
        <v>63</v>
      </c>
      <c r="D16" s="44" t="n">
        <v>407</v>
      </c>
      <c r="E16" s="44" t="n">
        <v>109.98</v>
      </c>
      <c r="F16" s="45" t="n">
        <v>1253332</v>
      </c>
      <c r="G16" s="45" t="n">
        <v>1192991</v>
      </c>
    </row>
    <row r="17" customFormat="false" ht="15" hidden="false" customHeight="false" outlineLevel="0" collapsed="false">
      <c r="A17" s="43" t="str">
        <f aca="false">B17&amp;"|"&amp;C17</f>
        <v>P2|Mağaza H</v>
      </c>
      <c r="B17" s="44" t="s">
        <v>117</v>
      </c>
      <c r="C17" s="44" t="s">
        <v>64</v>
      </c>
      <c r="D17" s="44" t="n">
        <v>460</v>
      </c>
      <c r="E17" s="44" t="n">
        <v>114.04</v>
      </c>
      <c r="F17" s="45" t="n">
        <v>1468835</v>
      </c>
      <c r="G17" s="45" t="n">
        <v>1498897</v>
      </c>
    </row>
    <row r="18" customFormat="false" ht="15" hidden="false" customHeight="false" outlineLevel="0" collapsed="false">
      <c r="A18" s="43" t="str">
        <f aca="false">B18&amp;"|"&amp;C18</f>
        <v>P3|Mağaza A</v>
      </c>
      <c r="B18" s="44" t="s">
        <v>15</v>
      </c>
      <c r="C18" s="44" t="s">
        <v>52</v>
      </c>
      <c r="D18" s="44" t="n">
        <v>622</v>
      </c>
      <c r="E18" s="44" t="n">
        <v>125.34</v>
      </c>
      <c r="F18" s="45" t="n">
        <v>2416806</v>
      </c>
      <c r="G18" s="45" t="n">
        <v>2370124</v>
      </c>
    </row>
    <row r="19" customFormat="false" ht="15" hidden="false" customHeight="false" outlineLevel="0" collapsed="false">
      <c r="A19" s="43" t="str">
        <f aca="false">B19&amp;"|"&amp;C19</f>
        <v>P3|Mağaza B</v>
      </c>
      <c r="B19" s="44" t="s">
        <v>15</v>
      </c>
      <c r="C19" s="44" t="s">
        <v>54</v>
      </c>
      <c r="D19" s="44" t="n">
        <v>454</v>
      </c>
      <c r="E19" s="44" t="n">
        <v>129.56</v>
      </c>
      <c r="F19" s="45" t="n">
        <v>1823427</v>
      </c>
      <c r="G19" s="45" t="n">
        <v>1827278</v>
      </c>
    </row>
    <row r="20" customFormat="false" ht="15" hidden="false" customHeight="false" outlineLevel="0" collapsed="false">
      <c r="A20" s="43" t="str">
        <f aca="false">B20&amp;"|"&amp;C20</f>
        <v>P3|Mağaza C</v>
      </c>
      <c r="B20" s="44" t="s">
        <v>15</v>
      </c>
      <c r="C20" s="44" t="s">
        <v>56</v>
      </c>
      <c r="D20" s="44" t="n">
        <v>379</v>
      </c>
      <c r="E20" s="44" t="n">
        <v>119.44</v>
      </c>
      <c r="F20" s="45" t="n">
        <v>1403301</v>
      </c>
      <c r="G20" s="45" t="n">
        <v>1453399</v>
      </c>
    </row>
    <row r="21" customFormat="false" ht="15" hidden="false" customHeight="false" outlineLevel="0" collapsed="false">
      <c r="A21" s="43" t="str">
        <f aca="false">B21&amp;"|"&amp;C21</f>
        <v>P3|Mağaza D</v>
      </c>
      <c r="B21" s="44" t="s">
        <v>15</v>
      </c>
      <c r="C21" s="44" t="s">
        <v>58</v>
      </c>
      <c r="D21" s="44" t="n">
        <v>773</v>
      </c>
      <c r="E21" s="44" t="n">
        <v>134.25</v>
      </c>
      <c r="F21" s="45" t="n">
        <v>3217033</v>
      </c>
      <c r="G21" s="45" t="n">
        <v>3002875</v>
      </c>
    </row>
    <row r="22" customFormat="false" ht="15" hidden="false" customHeight="false" outlineLevel="0" collapsed="false">
      <c r="A22" s="43" t="str">
        <f aca="false">B22&amp;"|"&amp;C22</f>
        <v>P3|Mağaza E</v>
      </c>
      <c r="B22" s="44" t="s">
        <v>15</v>
      </c>
      <c r="C22" s="44" t="s">
        <v>60</v>
      </c>
      <c r="D22" s="44" t="n">
        <v>595</v>
      </c>
      <c r="E22" s="44" t="n">
        <v>130.35</v>
      </c>
      <c r="F22" s="45" t="n">
        <v>2404306</v>
      </c>
      <c r="G22" s="45" t="n">
        <v>2242521</v>
      </c>
    </row>
    <row r="23" customFormat="false" ht="15" hidden="false" customHeight="false" outlineLevel="0" collapsed="false">
      <c r="A23" s="43" t="str">
        <f aca="false">B23&amp;"|"&amp;C23</f>
        <v>P3|Mağaza F</v>
      </c>
      <c r="B23" s="44" t="s">
        <v>15</v>
      </c>
      <c r="C23" s="44" t="s">
        <v>62</v>
      </c>
      <c r="D23" s="44" t="n">
        <v>544</v>
      </c>
      <c r="E23" s="44" t="n">
        <v>115.99</v>
      </c>
      <c r="F23" s="45" t="n">
        <v>1956055</v>
      </c>
      <c r="G23" s="45" t="n">
        <v>1988873</v>
      </c>
    </row>
    <row r="24" customFormat="false" ht="15" hidden="false" customHeight="false" outlineLevel="0" collapsed="false">
      <c r="A24" s="43" t="str">
        <f aca="false">B24&amp;"|"&amp;C24</f>
        <v>P3|Mağaza G</v>
      </c>
      <c r="B24" s="44" t="s">
        <v>15</v>
      </c>
      <c r="C24" s="44" t="s">
        <v>63</v>
      </c>
      <c r="D24" s="44" t="n">
        <v>383</v>
      </c>
      <c r="E24" s="44" t="n">
        <v>106.4</v>
      </c>
      <c r="F24" s="45" t="n">
        <v>1263287</v>
      </c>
      <c r="G24" s="45" t="n">
        <v>1209140</v>
      </c>
    </row>
    <row r="25" customFormat="false" ht="15" hidden="false" customHeight="false" outlineLevel="0" collapsed="false">
      <c r="A25" s="43" t="str">
        <f aca="false">B25&amp;"|"&amp;C25</f>
        <v>P3|Mağaza H</v>
      </c>
      <c r="B25" s="44" t="s">
        <v>15</v>
      </c>
      <c r="C25" s="44" t="s">
        <v>64</v>
      </c>
      <c r="D25" s="44" t="n">
        <v>530</v>
      </c>
      <c r="E25" s="44" t="n">
        <v>110.9</v>
      </c>
      <c r="F25" s="45" t="n">
        <v>1822087</v>
      </c>
      <c r="G25" s="45" t="n">
        <v>1901094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13" min="4" style="0" width="15"/>
  </cols>
  <sheetData>
    <row r="1" customFormat="false" ht="31.5" hidden="false" customHeight="true" outlineLevel="0" collapsed="false">
      <c r="A1" s="10" t="s">
        <v>112</v>
      </c>
      <c r="B1" s="10" t="s">
        <v>113</v>
      </c>
      <c r="C1" s="10" t="s">
        <v>26</v>
      </c>
      <c r="D1" s="10" t="s">
        <v>118</v>
      </c>
      <c r="E1" s="10" t="s">
        <v>119</v>
      </c>
      <c r="F1" s="10" t="s">
        <v>120</v>
      </c>
      <c r="G1" s="10" t="s">
        <v>121</v>
      </c>
      <c r="H1" s="10" t="s">
        <v>122</v>
      </c>
      <c r="I1" s="10" t="s">
        <v>123</v>
      </c>
      <c r="J1" s="10" t="s">
        <v>124</v>
      </c>
      <c r="K1" s="10" t="s">
        <v>125</v>
      </c>
      <c r="L1" s="10" t="s">
        <v>126</v>
      </c>
      <c r="M1" s="10" t="s">
        <v>127</v>
      </c>
    </row>
    <row r="2" customFormat="false" ht="15" hidden="false" customHeight="false" outlineLevel="0" collapsed="false">
      <c r="A2" s="43" t="str">
        <f aca="false">B2&amp;"|"&amp;C2</f>
        <v>P1|Mağaza A</v>
      </c>
      <c r="B2" s="44" t="s">
        <v>116</v>
      </c>
      <c r="C2" s="44" t="s">
        <v>52</v>
      </c>
      <c r="D2" s="45" t="n">
        <v>2838390</v>
      </c>
      <c r="E2" s="45" t="n">
        <v>758140</v>
      </c>
      <c r="F2" s="45" t="n">
        <v>198687</v>
      </c>
      <c r="G2" s="45" t="n">
        <v>361097</v>
      </c>
      <c r="H2" s="45" t="n">
        <v>230726</v>
      </c>
      <c r="I2" s="45" t="n">
        <v>344814</v>
      </c>
      <c r="J2" s="45" t="n">
        <v>122812</v>
      </c>
      <c r="K2" s="45" t="n">
        <v>822114</v>
      </c>
      <c r="L2" s="45" t="n">
        <v>725446</v>
      </c>
      <c r="M2" s="44"/>
    </row>
    <row r="3" customFormat="false" ht="15" hidden="false" customHeight="false" outlineLevel="0" collapsed="false">
      <c r="A3" s="43" t="str">
        <f aca="false">B3&amp;"|"&amp;C3</f>
        <v>P1|Mağaza B</v>
      </c>
      <c r="B3" s="44" t="s">
        <v>116</v>
      </c>
      <c r="C3" s="44" t="s">
        <v>54</v>
      </c>
      <c r="D3" s="45" t="n">
        <v>1994640</v>
      </c>
      <c r="E3" s="45" t="n">
        <v>475452</v>
      </c>
      <c r="F3" s="45" t="n">
        <v>139625</v>
      </c>
      <c r="G3" s="45" t="n">
        <v>248917</v>
      </c>
      <c r="H3" s="45" t="n">
        <v>171496</v>
      </c>
      <c r="I3" s="45" t="n">
        <v>296604</v>
      </c>
      <c r="J3" s="45" t="n">
        <v>52368</v>
      </c>
      <c r="K3" s="45" t="n">
        <v>610178</v>
      </c>
      <c r="L3" s="45" t="n">
        <v>612536</v>
      </c>
      <c r="M3" s="44" t="s">
        <v>128</v>
      </c>
    </row>
    <row r="4" customFormat="false" ht="15" hidden="false" customHeight="false" outlineLevel="0" collapsed="false">
      <c r="A4" s="43" t="str">
        <f aca="false">B4&amp;"|"&amp;C4</f>
        <v>P1|Mağaza C</v>
      </c>
      <c r="B4" s="44" t="s">
        <v>116</v>
      </c>
      <c r="C4" s="44" t="s">
        <v>56</v>
      </c>
      <c r="D4" s="45" t="n">
        <v>1483284</v>
      </c>
      <c r="E4" s="45" t="n">
        <v>351535</v>
      </c>
      <c r="F4" s="45" t="n">
        <v>103830</v>
      </c>
      <c r="G4" s="45" t="n">
        <v>231704</v>
      </c>
      <c r="H4" s="45" t="n">
        <v>137513</v>
      </c>
      <c r="I4" s="45" t="n">
        <v>161303</v>
      </c>
      <c r="J4" s="45" t="n">
        <v>43763</v>
      </c>
      <c r="K4" s="45" t="n">
        <v>453636</v>
      </c>
      <c r="L4" s="45" t="n">
        <v>409744</v>
      </c>
      <c r="M4" s="44" t="s">
        <v>129</v>
      </c>
    </row>
    <row r="5" customFormat="false" ht="15" hidden="false" customHeight="false" outlineLevel="0" collapsed="false">
      <c r="A5" s="43" t="str">
        <f aca="false">B5&amp;"|"&amp;C5</f>
        <v>P1|Mağaza D</v>
      </c>
      <c r="B5" s="44" t="s">
        <v>116</v>
      </c>
      <c r="C5" s="44" t="s">
        <v>58</v>
      </c>
      <c r="D5" s="45" t="n">
        <v>3269916</v>
      </c>
      <c r="E5" s="45" t="n">
        <v>837284</v>
      </c>
      <c r="F5" s="45" t="n">
        <v>228894</v>
      </c>
      <c r="G5" s="45" t="n">
        <v>410261</v>
      </c>
      <c r="H5" s="45" t="n">
        <v>291113</v>
      </c>
      <c r="I5" s="45" t="n">
        <v>435578</v>
      </c>
      <c r="J5" s="45" t="n">
        <v>73340</v>
      </c>
      <c r="K5" s="45" t="n">
        <v>993446</v>
      </c>
      <c r="L5" s="45" t="n">
        <v>1023443</v>
      </c>
      <c r="M5" s="44" t="s">
        <v>130</v>
      </c>
    </row>
    <row r="6" customFormat="false" ht="15" hidden="false" customHeight="false" outlineLevel="0" collapsed="false">
      <c r="A6" s="43" t="str">
        <f aca="false">B6&amp;"|"&amp;C6</f>
        <v>P1|Mağaza E</v>
      </c>
      <c r="B6" s="44" t="s">
        <v>116</v>
      </c>
      <c r="C6" s="44" t="s">
        <v>60</v>
      </c>
      <c r="D6" s="45" t="n">
        <v>1868937</v>
      </c>
      <c r="E6" s="45" t="n">
        <v>480369</v>
      </c>
      <c r="F6" s="45" t="n">
        <v>130826</v>
      </c>
      <c r="G6" s="45" t="n">
        <v>237713</v>
      </c>
      <c r="H6" s="45" t="n">
        <v>140194</v>
      </c>
      <c r="I6" s="45" t="n">
        <v>241201</v>
      </c>
      <c r="J6" s="45" t="n">
        <v>45544</v>
      </c>
      <c r="K6" s="45" t="n">
        <v>593090</v>
      </c>
      <c r="L6" s="45" t="n">
        <v>678326</v>
      </c>
      <c r="M6" s="44"/>
    </row>
    <row r="7" customFormat="false" ht="15" hidden="false" customHeight="false" outlineLevel="0" collapsed="false">
      <c r="A7" s="43" t="str">
        <f aca="false">B7&amp;"|"&amp;C7</f>
        <v>P1|Mağaza F</v>
      </c>
      <c r="B7" s="44" t="s">
        <v>116</v>
      </c>
      <c r="C7" s="44" t="s">
        <v>62</v>
      </c>
      <c r="D7" s="45" t="n">
        <v>1728137</v>
      </c>
      <c r="E7" s="45" t="n">
        <v>422837</v>
      </c>
      <c r="F7" s="45" t="n">
        <v>120970</v>
      </c>
      <c r="G7" s="45" t="n">
        <v>262541</v>
      </c>
      <c r="H7" s="45" t="n">
        <v>117227</v>
      </c>
      <c r="I7" s="45" t="n">
        <v>231397</v>
      </c>
      <c r="J7" s="45" t="n">
        <v>83804</v>
      </c>
      <c r="K7" s="45" t="n">
        <v>489361</v>
      </c>
      <c r="L7" s="45" t="n">
        <v>508505</v>
      </c>
      <c r="M7" s="44" t="s">
        <v>130</v>
      </c>
    </row>
    <row r="8" customFormat="false" ht="15" hidden="false" customHeight="false" outlineLevel="0" collapsed="false">
      <c r="A8" s="43" t="str">
        <f aca="false">B8&amp;"|"&amp;C8</f>
        <v>P1|Mağaza G</v>
      </c>
      <c r="B8" s="44" t="s">
        <v>116</v>
      </c>
      <c r="C8" s="44" t="s">
        <v>63</v>
      </c>
      <c r="D8" s="45" t="n">
        <v>1345021</v>
      </c>
      <c r="E8" s="45" t="n">
        <v>325129</v>
      </c>
      <c r="F8" s="45" t="n">
        <v>94151</v>
      </c>
      <c r="G8" s="45" t="n">
        <v>157989</v>
      </c>
      <c r="H8" s="45" t="n">
        <v>148872</v>
      </c>
      <c r="I8" s="45" t="n">
        <v>144844</v>
      </c>
      <c r="J8" s="45" t="n">
        <v>45186</v>
      </c>
      <c r="K8" s="45" t="n">
        <v>428850</v>
      </c>
      <c r="L8" s="45" t="n">
        <v>493087</v>
      </c>
      <c r="M8" s="44" t="s">
        <v>131</v>
      </c>
    </row>
    <row r="9" customFormat="false" ht="15" hidden="false" customHeight="false" outlineLevel="0" collapsed="false">
      <c r="A9" s="43" t="str">
        <f aca="false">B9&amp;"|"&amp;C9</f>
        <v>P1|Mağaza H</v>
      </c>
      <c r="B9" s="44" t="s">
        <v>116</v>
      </c>
      <c r="C9" s="44" t="s">
        <v>64</v>
      </c>
      <c r="D9" s="45" t="n">
        <v>1943975</v>
      </c>
      <c r="E9" s="45" t="n">
        <v>471758</v>
      </c>
      <c r="F9" s="45" t="n">
        <v>136078</v>
      </c>
      <c r="G9" s="45" t="n">
        <v>261286</v>
      </c>
      <c r="H9" s="45" t="n">
        <v>201727</v>
      </c>
      <c r="I9" s="45" t="n">
        <v>230833</v>
      </c>
      <c r="J9" s="45" t="n">
        <v>55852</v>
      </c>
      <c r="K9" s="45" t="n">
        <v>586441</v>
      </c>
      <c r="L9" s="45" t="n">
        <v>569514</v>
      </c>
      <c r="M9" s="44" t="s">
        <v>131</v>
      </c>
    </row>
    <row r="10" customFormat="false" ht="15" hidden="false" customHeight="false" outlineLevel="0" collapsed="false">
      <c r="A10" s="43" t="str">
        <f aca="false">B10&amp;"|"&amp;C10</f>
        <v>P2|Mağaza A</v>
      </c>
      <c r="B10" s="44" t="s">
        <v>117</v>
      </c>
      <c r="C10" s="44" t="s">
        <v>52</v>
      </c>
      <c r="D10" s="45" t="n">
        <v>2090805</v>
      </c>
      <c r="E10" s="45" t="n">
        <v>545915</v>
      </c>
      <c r="F10" s="45" t="n">
        <v>146356</v>
      </c>
      <c r="G10" s="45" t="n">
        <v>285578</v>
      </c>
      <c r="H10" s="45" t="n">
        <v>147953</v>
      </c>
      <c r="I10" s="45" t="n">
        <v>305736</v>
      </c>
      <c r="J10" s="45" t="n">
        <v>96248</v>
      </c>
      <c r="K10" s="45" t="n">
        <v>563019</v>
      </c>
      <c r="L10" s="45" t="n">
        <v>508989</v>
      </c>
      <c r="M10" s="44" t="s">
        <v>130</v>
      </c>
    </row>
    <row r="11" customFormat="false" ht="15" hidden="false" customHeight="false" outlineLevel="0" collapsed="false">
      <c r="A11" s="43" t="str">
        <f aca="false">B11&amp;"|"&amp;C11</f>
        <v>P2|Mağaza B</v>
      </c>
      <c r="B11" s="44" t="s">
        <v>117</v>
      </c>
      <c r="C11" s="44" t="s">
        <v>54</v>
      </c>
      <c r="D11" s="45" t="n">
        <v>1571695</v>
      </c>
      <c r="E11" s="45" t="n">
        <v>407228</v>
      </c>
      <c r="F11" s="45" t="n">
        <v>110019</v>
      </c>
      <c r="G11" s="45" t="n">
        <v>241050</v>
      </c>
      <c r="H11" s="45" t="n">
        <v>128375</v>
      </c>
      <c r="I11" s="45" t="n">
        <v>215576</v>
      </c>
      <c r="J11" s="45" t="n">
        <v>67971</v>
      </c>
      <c r="K11" s="45" t="n">
        <v>401476</v>
      </c>
      <c r="L11" s="45" t="n">
        <v>424914</v>
      </c>
      <c r="M11" s="44"/>
    </row>
    <row r="12" customFormat="false" ht="15" hidden="false" customHeight="false" outlineLevel="0" collapsed="false">
      <c r="A12" s="43" t="str">
        <f aca="false">B12&amp;"|"&amp;C12</f>
        <v>P2|Mağaza C</v>
      </c>
      <c r="B12" s="44" t="s">
        <v>117</v>
      </c>
      <c r="C12" s="44" t="s">
        <v>56</v>
      </c>
      <c r="D12" s="45" t="n">
        <v>1246908</v>
      </c>
      <c r="E12" s="45" t="n">
        <v>293379</v>
      </c>
      <c r="F12" s="45" t="n">
        <v>87284</v>
      </c>
      <c r="G12" s="45" t="n">
        <v>172031</v>
      </c>
      <c r="H12" s="45" t="n">
        <v>124814</v>
      </c>
      <c r="I12" s="45" t="n">
        <v>174709</v>
      </c>
      <c r="J12" s="45" t="n">
        <v>34846</v>
      </c>
      <c r="K12" s="45" t="n">
        <v>359845</v>
      </c>
      <c r="L12" s="45" t="n">
        <v>411766</v>
      </c>
      <c r="M12" s="44"/>
    </row>
    <row r="13" customFormat="false" ht="15" hidden="false" customHeight="false" outlineLevel="0" collapsed="false">
      <c r="A13" s="43" t="str">
        <f aca="false">B13&amp;"|"&amp;C13</f>
        <v>P2|Mağaza D</v>
      </c>
      <c r="B13" s="44" t="s">
        <v>117</v>
      </c>
      <c r="C13" s="44" t="s">
        <v>58</v>
      </c>
      <c r="D13" s="45" t="n">
        <v>2845844</v>
      </c>
      <c r="E13" s="45" t="n">
        <v>760630</v>
      </c>
      <c r="F13" s="45" t="n">
        <v>199209</v>
      </c>
      <c r="G13" s="45" t="n">
        <v>405489</v>
      </c>
      <c r="H13" s="45" t="n">
        <v>269899</v>
      </c>
      <c r="I13" s="45" t="n">
        <v>258103</v>
      </c>
      <c r="J13" s="45" t="n">
        <v>103616</v>
      </c>
      <c r="K13" s="45" t="n">
        <v>848898</v>
      </c>
      <c r="L13" s="45" t="n">
        <v>785407</v>
      </c>
      <c r="M13" s="44"/>
    </row>
    <row r="14" customFormat="false" ht="15" hidden="false" customHeight="false" outlineLevel="0" collapsed="false">
      <c r="A14" s="43" t="str">
        <f aca="false">B14&amp;"|"&amp;C14</f>
        <v>P2|Mağaza E</v>
      </c>
      <c r="B14" s="44" t="s">
        <v>117</v>
      </c>
      <c r="C14" s="44" t="s">
        <v>60</v>
      </c>
      <c r="D14" s="45" t="n">
        <v>1727593</v>
      </c>
      <c r="E14" s="45" t="n">
        <v>405019</v>
      </c>
      <c r="F14" s="45" t="n">
        <v>120932</v>
      </c>
      <c r="G14" s="45" t="n">
        <v>233255</v>
      </c>
      <c r="H14" s="45" t="n">
        <v>173482</v>
      </c>
      <c r="I14" s="45" t="n">
        <v>192444</v>
      </c>
      <c r="J14" s="45" t="n">
        <v>48746</v>
      </c>
      <c r="K14" s="45" t="n">
        <v>553715</v>
      </c>
      <c r="L14" s="45" t="n">
        <v>528064</v>
      </c>
      <c r="M14" s="44" t="s">
        <v>130</v>
      </c>
    </row>
    <row r="15" customFormat="false" ht="15" hidden="false" customHeight="false" outlineLevel="0" collapsed="false">
      <c r="A15" s="43" t="str">
        <f aca="false">B15&amp;"|"&amp;C15</f>
        <v>P2|Mağaza F</v>
      </c>
      <c r="B15" s="44" t="s">
        <v>117</v>
      </c>
      <c r="C15" s="44" t="s">
        <v>62</v>
      </c>
      <c r="D15" s="45" t="n">
        <v>1807827</v>
      </c>
      <c r="E15" s="45" t="n">
        <v>473911</v>
      </c>
      <c r="F15" s="45" t="n">
        <v>126548</v>
      </c>
      <c r="G15" s="45" t="n">
        <v>277493</v>
      </c>
      <c r="H15" s="45" t="n">
        <v>183133</v>
      </c>
      <c r="I15" s="45" t="n">
        <v>268584</v>
      </c>
      <c r="J15" s="45" t="n">
        <v>88033</v>
      </c>
      <c r="K15" s="45" t="n">
        <v>390125</v>
      </c>
      <c r="L15" s="45" t="n">
        <v>392248</v>
      </c>
      <c r="M15" s="44"/>
    </row>
    <row r="16" customFormat="false" ht="15" hidden="false" customHeight="false" outlineLevel="0" collapsed="false">
      <c r="A16" s="43" t="str">
        <f aca="false">B16&amp;"|"&amp;C16</f>
        <v>P2|Mağaza G</v>
      </c>
      <c r="B16" s="44" t="s">
        <v>117</v>
      </c>
      <c r="C16" s="44" t="s">
        <v>63</v>
      </c>
      <c r="D16" s="45" t="n">
        <v>1531692</v>
      </c>
      <c r="E16" s="45" t="n">
        <v>352186</v>
      </c>
      <c r="F16" s="45" t="n">
        <v>107218</v>
      </c>
      <c r="G16" s="45" t="n">
        <v>196212</v>
      </c>
      <c r="H16" s="45" t="n">
        <v>170372</v>
      </c>
      <c r="I16" s="45" t="n">
        <v>163847</v>
      </c>
      <c r="J16" s="45" t="n">
        <v>34256</v>
      </c>
      <c r="K16" s="45" t="n">
        <v>507601</v>
      </c>
      <c r="L16" s="45" t="n">
        <v>533619</v>
      </c>
      <c r="M16" s="44" t="s">
        <v>130</v>
      </c>
    </row>
    <row r="17" customFormat="false" ht="15" hidden="false" customHeight="false" outlineLevel="0" collapsed="false">
      <c r="A17" s="43" t="str">
        <f aca="false">B17&amp;"|"&amp;C17</f>
        <v>P2|Mağaza H</v>
      </c>
      <c r="B17" s="44" t="s">
        <v>117</v>
      </c>
      <c r="C17" s="44" t="s">
        <v>64</v>
      </c>
      <c r="D17" s="45" t="n">
        <v>1418794</v>
      </c>
      <c r="E17" s="45" t="n">
        <v>367494</v>
      </c>
      <c r="F17" s="45" t="n">
        <v>99316</v>
      </c>
      <c r="G17" s="45" t="n">
        <v>197272</v>
      </c>
      <c r="H17" s="45" t="n">
        <v>141785</v>
      </c>
      <c r="I17" s="45" t="n">
        <v>163512</v>
      </c>
      <c r="J17" s="45" t="n">
        <v>54925</v>
      </c>
      <c r="K17" s="45" t="n">
        <v>394490</v>
      </c>
      <c r="L17" s="45" t="n">
        <v>427000</v>
      </c>
      <c r="M17" s="44"/>
    </row>
    <row r="18" customFormat="false" ht="15" hidden="false" customHeight="false" outlineLevel="0" collapsed="false">
      <c r="A18" s="43" t="str">
        <f aca="false">B18&amp;"|"&amp;C18</f>
        <v>P3|Mağaza A</v>
      </c>
      <c r="B18" s="44" t="s">
        <v>15</v>
      </c>
      <c r="C18" s="44" t="s">
        <v>52</v>
      </c>
      <c r="D18" s="45" t="n">
        <v>2181203</v>
      </c>
      <c r="E18" s="45" t="n">
        <v>588490</v>
      </c>
      <c r="F18" s="45" t="n">
        <v>152684</v>
      </c>
      <c r="G18" s="45" t="n">
        <v>261264</v>
      </c>
      <c r="H18" s="45" t="n">
        <v>207622</v>
      </c>
      <c r="I18" s="45" t="n">
        <v>277982</v>
      </c>
      <c r="J18" s="45" t="n">
        <v>55451</v>
      </c>
      <c r="K18" s="45" t="n">
        <v>637710</v>
      </c>
      <c r="L18" s="45" t="n">
        <v>687260</v>
      </c>
      <c r="M18" s="44" t="s">
        <v>131</v>
      </c>
    </row>
    <row r="19" customFormat="false" ht="15" hidden="false" customHeight="false" outlineLevel="0" collapsed="false">
      <c r="A19" s="43" t="str">
        <f aca="false">B19&amp;"|"&amp;C19</f>
        <v>P3|Mağaza B</v>
      </c>
      <c r="B19" s="44" t="s">
        <v>15</v>
      </c>
      <c r="C19" s="44" t="s">
        <v>54</v>
      </c>
      <c r="D19" s="45" t="n">
        <v>1744134</v>
      </c>
      <c r="E19" s="45" t="n">
        <v>387360</v>
      </c>
      <c r="F19" s="45" t="n">
        <v>122089</v>
      </c>
      <c r="G19" s="45" t="n">
        <v>232980</v>
      </c>
      <c r="H19" s="45" t="n">
        <v>128324</v>
      </c>
      <c r="I19" s="45" t="n">
        <v>162638</v>
      </c>
      <c r="J19" s="45" t="n">
        <v>41869</v>
      </c>
      <c r="K19" s="45" t="n">
        <v>668874</v>
      </c>
      <c r="L19" s="45" t="n">
        <v>632223</v>
      </c>
      <c r="M19" s="44" t="s">
        <v>131</v>
      </c>
    </row>
    <row r="20" customFormat="false" ht="15" hidden="false" customHeight="false" outlineLevel="0" collapsed="false">
      <c r="A20" s="43" t="str">
        <f aca="false">B20&amp;"|"&amp;C20</f>
        <v>P3|Mağaza C</v>
      </c>
      <c r="B20" s="44" t="s">
        <v>15</v>
      </c>
      <c r="C20" s="44" t="s">
        <v>56</v>
      </c>
      <c r="D20" s="45" t="n">
        <v>1403769</v>
      </c>
      <c r="E20" s="45" t="n">
        <v>347315</v>
      </c>
      <c r="F20" s="45" t="n">
        <v>98264</v>
      </c>
      <c r="G20" s="45" t="n">
        <v>183577</v>
      </c>
      <c r="H20" s="45" t="n">
        <v>113798</v>
      </c>
      <c r="I20" s="45" t="n">
        <v>182141</v>
      </c>
      <c r="J20" s="45" t="n">
        <v>31107</v>
      </c>
      <c r="K20" s="45" t="n">
        <v>447567</v>
      </c>
      <c r="L20" s="45" t="n">
        <v>407872</v>
      </c>
      <c r="M20" s="44"/>
    </row>
    <row r="21" customFormat="false" ht="15" hidden="false" customHeight="false" outlineLevel="0" collapsed="false">
      <c r="A21" s="43" t="str">
        <f aca="false">B21&amp;"|"&amp;C21</f>
        <v>P3|Mağaza D</v>
      </c>
      <c r="B21" s="44" t="s">
        <v>15</v>
      </c>
      <c r="C21" s="44" t="s">
        <v>58</v>
      </c>
      <c r="D21" s="45" t="n">
        <v>3165404</v>
      </c>
      <c r="E21" s="45" t="n">
        <v>696493</v>
      </c>
      <c r="F21" s="45" t="n">
        <v>221578</v>
      </c>
      <c r="G21" s="45" t="n">
        <v>412353</v>
      </c>
      <c r="H21" s="45" t="n">
        <v>242823</v>
      </c>
      <c r="I21" s="45" t="n">
        <v>362763</v>
      </c>
      <c r="J21" s="45" t="n">
        <v>74236</v>
      </c>
      <c r="K21" s="45" t="n">
        <v>1155158</v>
      </c>
      <c r="L21" s="45" t="n">
        <v>1269993</v>
      </c>
      <c r="M21" s="44" t="s">
        <v>128</v>
      </c>
    </row>
    <row r="22" customFormat="false" ht="15" hidden="false" customHeight="false" outlineLevel="0" collapsed="false">
      <c r="A22" s="43" t="str">
        <f aca="false">B22&amp;"|"&amp;C22</f>
        <v>P3|Mağaza E</v>
      </c>
      <c r="B22" s="44" t="s">
        <v>15</v>
      </c>
      <c r="C22" s="44" t="s">
        <v>60</v>
      </c>
      <c r="D22" s="45" t="n">
        <v>2470360</v>
      </c>
      <c r="E22" s="45" t="n">
        <v>611406</v>
      </c>
      <c r="F22" s="45" t="n">
        <v>172925</v>
      </c>
      <c r="G22" s="45" t="n">
        <v>308966</v>
      </c>
      <c r="H22" s="45" t="n">
        <v>191989</v>
      </c>
      <c r="I22" s="45" t="n">
        <v>298318</v>
      </c>
      <c r="J22" s="45" t="n">
        <v>119894</v>
      </c>
      <c r="K22" s="45" t="n">
        <v>766862</v>
      </c>
      <c r="L22" s="45" t="n">
        <v>719284</v>
      </c>
      <c r="M22" s="44" t="s">
        <v>128</v>
      </c>
    </row>
    <row r="23" customFormat="false" ht="15" hidden="false" customHeight="false" outlineLevel="0" collapsed="false">
      <c r="A23" s="43" t="str">
        <f aca="false">B23&amp;"|"&amp;C23</f>
        <v>P3|Mağaza F</v>
      </c>
      <c r="B23" s="44" t="s">
        <v>15</v>
      </c>
      <c r="C23" s="44" t="s">
        <v>62</v>
      </c>
      <c r="D23" s="45" t="n">
        <v>2184827</v>
      </c>
      <c r="E23" s="45" t="n">
        <v>526445</v>
      </c>
      <c r="F23" s="45" t="n">
        <v>152938</v>
      </c>
      <c r="G23" s="45" t="n">
        <v>329143</v>
      </c>
      <c r="H23" s="45" t="n">
        <v>215288</v>
      </c>
      <c r="I23" s="45" t="n">
        <v>245065</v>
      </c>
      <c r="J23" s="45" t="n">
        <v>53011</v>
      </c>
      <c r="K23" s="45" t="n">
        <v>662937</v>
      </c>
      <c r="L23" s="45" t="n">
        <v>682017</v>
      </c>
      <c r="M23" s="44"/>
    </row>
    <row r="24" customFormat="false" ht="15" hidden="false" customHeight="false" outlineLevel="0" collapsed="false">
      <c r="A24" s="43" t="str">
        <f aca="false">B24&amp;"|"&amp;C24</f>
        <v>P3|Mağaza G</v>
      </c>
      <c r="B24" s="44" t="s">
        <v>15</v>
      </c>
      <c r="C24" s="44" t="s">
        <v>63</v>
      </c>
      <c r="D24" s="45" t="n">
        <v>1416579</v>
      </c>
      <c r="E24" s="45" t="n">
        <v>325753</v>
      </c>
      <c r="F24" s="45" t="n">
        <v>99161</v>
      </c>
      <c r="G24" s="45" t="n">
        <v>165243</v>
      </c>
      <c r="H24" s="45" t="n">
        <v>92715</v>
      </c>
      <c r="I24" s="45" t="n">
        <v>197293</v>
      </c>
      <c r="J24" s="45" t="n">
        <v>56450</v>
      </c>
      <c r="K24" s="45" t="n">
        <v>479964</v>
      </c>
      <c r="L24" s="45" t="n">
        <v>462952</v>
      </c>
      <c r="M24" s="44" t="s">
        <v>128</v>
      </c>
    </row>
    <row r="25" customFormat="false" ht="15" hidden="false" customHeight="false" outlineLevel="0" collapsed="false">
      <c r="A25" s="43" t="str">
        <f aca="false">B25&amp;"|"&amp;C25</f>
        <v>P3|Mağaza H</v>
      </c>
      <c r="B25" s="44" t="s">
        <v>15</v>
      </c>
      <c r="C25" s="44" t="s">
        <v>64</v>
      </c>
      <c r="D25" s="45" t="n">
        <v>2004039</v>
      </c>
      <c r="E25" s="45" t="n">
        <v>502530</v>
      </c>
      <c r="F25" s="45" t="n">
        <v>140283</v>
      </c>
      <c r="G25" s="45" t="n">
        <v>234543</v>
      </c>
      <c r="H25" s="45" t="n">
        <v>195930</v>
      </c>
      <c r="I25" s="45" t="n">
        <v>287533</v>
      </c>
      <c r="J25" s="45" t="n">
        <v>62677</v>
      </c>
      <c r="K25" s="45" t="n">
        <v>580543</v>
      </c>
      <c r="L25" s="45" t="n">
        <v>568645</v>
      </c>
      <c r="M25" s="44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7" min="4" style="0" width="15"/>
  </cols>
  <sheetData>
    <row r="1" customFormat="false" ht="31.5" hidden="false" customHeight="true" outlineLevel="0" collapsed="false">
      <c r="A1" s="10" t="s">
        <v>112</v>
      </c>
      <c r="B1" s="10" t="s">
        <v>113</v>
      </c>
      <c r="C1" s="10" t="s">
        <v>26</v>
      </c>
      <c r="D1" s="10" t="s">
        <v>132</v>
      </c>
      <c r="E1" s="10" t="s">
        <v>133</v>
      </c>
      <c r="F1" s="10" t="s">
        <v>118</v>
      </c>
      <c r="G1" s="10" t="s">
        <v>134</v>
      </c>
    </row>
    <row r="2" customFormat="false" ht="15" hidden="false" customHeight="false" outlineLevel="0" collapsed="false">
      <c r="A2" s="43" t="str">
        <f aca="false">B2&amp;"|"&amp;C2</f>
        <v>P1|Mağaza A</v>
      </c>
      <c r="B2" s="44" t="s">
        <v>116</v>
      </c>
      <c r="C2" s="44" t="s">
        <v>52</v>
      </c>
      <c r="D2" s="44" t="n">
        <v>21359</v>
      </c>
      <c r="E2" s="44" t="n">
        <v>3352</v>
      </c>
      <c r="F2" s="45" t="n">
        <v>2563080</v>
      </c>
      <c r="G2" s="45" t="n">
        <v>383111</v>
      </c>
    </row>
    <row r="3" customFormat="false" ht="15" hidden="false" customHeight="false" outlineLevel="0" collapsed="false">
      <c r="A3" s="43" t="str">
        <f aca="false">B3&amp;"|"&amp;C3</f>
        <v>P1|Mağaza B</v>
      </c>
      <c r="B3" s="44" t="s">
        <v>116</v>
      </c>
      <c r="C3" s="44" t="s">
        <v>54</v>
      </c>
      <c r="D3" s="44" t="n">
        <v>15531</v>
      </c>
      <c r="E3" s="44" t="n">
        <v>2419</v>
      </c>
      <c r="F3" s="45" t="n">
        <v>1863720</v>
      </c>
      <c r="G3" s="45" t="n">
        <v>276513</v>
      </c>
    </row>
    <row r="4" customFormat="false" ht="15" hidden="false" customHeight="false" outlineLevel="0" collapsed="false">
      <c r="A4" s="43" t="str">
        <f aca="false">B4&amp;"|"&amp;C4</f>
        <v>P1|Mağaza C</v>
      </c>
      <c r="B4" s="44" t="s">
        <v>116</v>
      </c>
      <c r="C4" s="44" t="s">
        <v>56</v>
      </c>
      <c r="D4" s="44" t="n">
        <v>11191</v>
      </c>
      <c r="E4" s="44" t="n">
        <v>1958</v>
      </c>
      <c r="F4" s="45" t="n">
        <v>1342920</v>
      </c>
      <c r="G4" s="45" t="n">
        <v>223816</v>
      </c>
    </row>
    <row r="5" customFormat="false" ht="15" hidden="false" customHeight="false" outlineLevel="0" collapsed="false">
      <c r="A5" s="43" t="str">
        <f aca="false">B5&amp;"|"&amp;C5</f>
        <v>P1|Mağaza D</v>
      </c>
      <c r="B5" s="44" t="s">
        <v>116</v>
      </c>
      <c r="C5" s="44" t="s">
        <v>58</v>
      </c>
      <c r="D5" s="44" t="n">
        <v>26412</v>
      </c>
      <c r="E5" s="44" t="n">
        <v>3902</v>
      </c>
      <c r="F5" s="45" t="n">
        <v>3169440</v>
      </c>
      <c r="G5" s="45" t="n">
        <v>445976</v>
      </c>
    </row>
    <row r="6" customFormat="false" ht="15" hidden="false" customHeight="false" outlineLevel="0" collapsed="false">
      <c r="A6" s="43" t="str">
        <f aca="false">B6&amp;"|"&amp;C6</f>
        <v>P1|Mağaza E</v>
      </c>
      <c r="B6" s="44" t="s">
        <v>116</v>
      </c>
      <c r="C6" s="44" t="s">
        <v>60</v>
      </c>
      <c r="D6" s="44" t="n">
        <v>17639</v>
      </c>
      <c r="E6" s="44" t="n">
        <v>3304</v>
      </c>
      <c r="F6" s="45" t="n">
        <v>2116680</v>
      </c>
      <c r="G6" s="45" t="n">
        <v>377610</v>
      </c>
    </row>
    <row r="7" customFormat="false" ht="15" hidden="false" customHeight="false" outlineLevel="0" collapsed="false">
      <c r="A7" s="43" t="str">
        <f aca="false">B7&amp;"|"&amp;C7</f>
        <v>P1|Mağaza F</v>
      </c>
      <c r="B7" s="44" t="s">
        <v>116</v>
      </c>
      <c r="C7" s="44" t="s">
        <v>62</v>
      </c>
      <c r="D7" s="44" t="n">
        <v>16306</v>
      </c>
      <c r="E7" s="44" t="n">
        <v>2101</v>
      </c>
      <c r="F7" s="45" t="n">
        <v>1956720</v>
      </c>
      <c r="G7" s="45" t="n">
        <v>240133</v>
      </c>
    </row>
    <row r="8" customFormat="false" ht="15" hidden="false" customHeight="false" outlineLevel="0" collapsed="false">
      <c r="A8" s="43" t="str">
        <f aca="false">B8&amp;"|"&amp;C8</f>
        <v>P1|Mağaza G</v>
      </c>
      <c r="B8" s="44" t="s">
        <v>116</v>
      </c>
      <c r="C8" s="44" t="s">
        <v>63</v>
      </c>
      <c r="D8" s="44" t="n">
        <v>12431</v>
      </c>
      <c r="E8" s="44" t="n">
        <v>2056</v>
      </c>
      <c r="F8" s="45" t="n">
        <v>1491720</v>
      </c>
      <c r="G8" s="45" t="n">
        <v>234970</v>
      </c>
    </row>
    <row r="9" customFormat="false" ht="15" hidden="false" customHeight="false" outlineLevel="0" collapsed="false">
      <c r="A9" s="43" t="str">
        <f aca="false">B9&amp;"|"&amp;C9</f>
        <v>P1|Mağaza H</v>
      </c>
      <c r="B9" s="44" t="s">
        <v>116</v>
      </c>
      <c r="C9" s="44" t="s">
        <v>64</v>
      </c>
      <c r="D9" s="44" t="n">
        <v>14477</v>
      </c>
      <c r="E9" s="44" t="n">
        <v>2573</v>
      </c>
      <c r="F9" s="45" t="n">
        <v>1737240</v>
      </c>
      <c r="G9" s="45" t="n">
        <v>294084</v>
      </c>
    </row>
    <row r="10" customFormat="false" ht="15" hidden="false" customHeight="false" outlineLevel="0" collapsed="false">
      <c r="A10" s="43" t="str">
        <f aca="false">B10&amp;"|"&amp;C10</f>
        <v>P2|Mağaza A</v>
      </c>
      <c r="B10" s="44" t="s">
        <v>117</v>
      </c>
      <c r="C10" s="44" t="s">
        <v>52</v>
      </c>
      <c r="D10" s="44" t="n">
        <v>19292</v>
      </c>
      <c r="E10" s="44" t="n">
        <v>2716</v>
      </c>
      <c r="F10" s="45" t="n">
        <v>2315040</v>
      </c>
      <c r="G10" s="45" t="n">
        <v>310364</v>
      </c>
    </row>
    <row r="11" customFormat="false" ht="15" hidden="false" customHeight="false" outlineLevel="0" collapsed="false">
      <c r="A11" s="43" t="str">
        <f aca="false">B11&amp;"|"&amp;C11</f>
        <v>P2|Mağaza B</v>
      </c>
      <c r="B11" s="44" t="s">
        <v>117</v>
      </c>
      <c r="C11" s="44" t="s">
        <v>54</v>
      </c>
      <c r="D11" s="44" t="n">
        <v>13888</v>
      </c>
      <c r="E11" s="44" t="n">
        <v>1897</v>
      </c>
      <c r="F11" s="45" t="n">
        <v>1666560</v>
      </c>
      <c r="G11" s="45" t="n">
        <v>216795</v>
      </c>
    </row>
    <row r="12" customFormat="false" ht="15" hidden="false" customHeight="false" outlineLevel="0" collapsed="false">
      <c r="A12" s="43" t="str">
        <f aca="false">B12&amp;"|"&amp;C12</f>
        <v>P2|Mağaza C</v>
      </c>
      <c r="B12" s="44" t="s">
        <v>117</v>
      </c>
      <c r="C12" s="44" t="s">
        <v>56</v>
      </c>
      <c r="D12" s="44" t="n">
        <v>11760</v>
      </c>
      <c r="E12" s="44" t="n">
        <v>1378</v>
      </c>
      <c r="F12" s="45" t="n">
        <v>1411200</v>
      </c>
      <c r="G12" s="45" t="n">
        <v>157453</v>
      </c>
    </row>
    <row r="13" customFormat="false" ht="15" hidden="false" customHeight="false" outlineLevel="0" collapsed="false">
      <c r="A13" s="43" t="str">
        <f aca="false">B13&amp;"|"&amp;C13</f>
        <v>P2|Mağaza D</v>
      </c>
      <c r="B13" s="44" t="s">
        <v>117</v>
      </c>
      <c r="C13" s="44" t="s">
        <v>58</v>
      </c>
      <c r="D13" s="44" t="n">
        <v>25004</v>
      </c>
      <c r="E13" s="44" t="n">
        <v>4873</v>
      </c>
      <c r="F13" s="45" t="n">
        <v>3000480</v>
      </c>
      <c r="G13" s="45" t="n">
        <v>556931</v>
      </c>
    </row>
    <row r="14" customFormat="false" ht="15" hidden="false" customHeight="false" outlineLevel="0" collapsed="false">
      <c r="A14" s="43" t="str">
        <f aca="false">B14&amp;"|"&amp;C14</f>
        <v>P2|Mağaza E</v>
      </c>
      <c r="B14" s="44" t="s">
        <v>117</v>
      </c>
      <c r="C14" s="44" t="s">
        <v>60</v>
      </c>
      <c r="D14" s="44" t="n">
        <v>15260</v>
      </c>
      <c r="E14" s="44" t="n">
        <v>2157</v>
      </c>
      <c r="F14" s="45" t="n">
        <v>1831200</v>
      </c>
      <c r="G14" s="45" t="n">
        <v>246478</v>
      </c>
    </row>
    <row r="15" customFormat="false" ht="15" hidden="false" customHeight="false" outlineLevel="0" collapsed="false">
      <c r="A15" s="43" t="str">
        <f aca="false">B15&amp;"|"&amp;C15</f>
        <v>P2|Mağaza F</v>
      </c>
      <c r="B15" s="44" t="s">
        <v>117</v>
      </c>
      <c r="C15" s="44" t="s">
        <v>62</v>
      </c>
      <c r="D15" s="44" t="n">
        <v>15652</v>
      </c>
      <c r="E15" s="44" t="n">
        <v>3030</v>
      </c>
      <c r="F15" s="45" t="n">
        <v>1878240</v>
      </c>
      <c r="G15" s="45" t="n">
        <v>346279</v>
      </c>
    </row>
    <row r="16" customFormat="false" ht="15" hidden="false" customHeight="false" outlineLevel="0" collapsed="false">
      <c r="A16" s="43" t="str">
        <f aca="false">B16&amp;"|"&amp;C16</f>
        <v>P2|Mağaza G</v>
      </c>
      <c r="B16" s="44" t="s">
        <v>117</v>
      </c>
      <c r="C16" s="44" t="s">
        <v>63</v>
      </c>
      <c r="D16" s="44" t="n">
        <v>11396</v>
      </c>
      <c r="E16" s="44" t="n">
        <v>1453</v>
      </c>
      <c r="F16" s="45" t="n">
        <v>1367520</v>
      </c>
      <c r="G16" s="45" t="n">
        <v>166104</v>
      </c>
    </row>
    <row r="17" customFormat="false" ht="15" hidden="false" customHeight="false" outlineLevel="0" collapsed="false">
      <c r="A17" s="43" t="str">
        <f aca="false">B17&amp;"|"&amp;C17</f>
        <v>P2|Mağaza H</v>
      </c>
      <c r="B17" s="44" t="s">
        <v>117</v>
      </c>
      <c r="C17" s="44" t="s">
        <v>64</v>
      </c>
      <c r="D17" s="44" t="n">
        <v>12880</v>
      </c>
      <c r="E17" s="44" t="n">
        <v>1513</v>
      </c>
      <c r="F17" s="45" t="n">
        <v>1545600</v>
      </c>
      <c r="G17" s="45" t="n">
        <v>172956</v>
      </c>
    </row>
    <row r="18" customFormat="false" ht="15" hidden="false" customHeight="false" outlineLevel="0" collapsed="false">
      <c r="A18" s="43" t="str">
        <f aca="false">B18&amp;"|"&amp;C18</f>
        <v>P3|Mağaza A</v>
      </c>
      <c r="B18" s="44" t="s">
        <v>15</v>
      </c>
      <c r="C18" s="44" t="s">
        <v>52</v>
      </c>
      <c r="D18" s="44" t="n">
        <v>19282</v>
      </c>
      <c r="E18" s="44" t="n">
        <v>3296</v>
      </c>
      <c r="F18" s="45" t="n">
        <v>2313840</v>
      </c>
      <c r="G18" s="45" t="n">
        <v>376704</v>
      </c>
    </row>
    <row r="19" customFormat="false" ht="15" hidden="false" customHeight="false" outlineLevel="0" collapsed="false">
      <c r="A19" s="43" t="str">
        <f aca="false">B19&amp;"|"&amp;C19</f>
        <v>P3|Mağaza B</v>
      </c>
      <c r="B19" s="44" t="s">
        <v>15</v>
      </c>
      <c r="C19" s="44" t="s">
        <v>54</v>
      </c>
      <c r="D19" s="44" t="n">
        <v>14074</v>
      </c>
      <c r="E19" s="44" t="n">
        <v>2761</v>
      </c>
      <c r="F19" s="45" t="n">
        <v>1688880</v>
      </c>
      <c r="G19" s="45" t="n">
        <v>315595</v>
      </c>
    </row>
    <row r="20" customFormat="false" ht="15" hidden="false" customHeight="false" outlineLevel="0" collapsed="false">
      <c r="A20" s="43" t="str">
        <f aca="false">B20&amp;"|"&amp;C20</f>
        <v>P3|Mağaza C</v>
      </c>
      <c r="B20" s="44" t="s">
        <v>15</v>
      </c>
      <c r="C20" s="44" t="s">
        <v>56</v>
      </c>
      <c r="D20" s="44" t="n">
        <v>11749</v>
      </c>
      <c r="E20" s="44" t="n">
        <v>1599</v>
      </c>
      <c r="F20" s="45" t="n">
        <v>1409880</v>
      </c>
      <c r="G20" s="45" t="n">
        <v>182777</v>
      </c>
    </row>
    <row r="21" customFormat="false" ht="15" hidden="false" customHeight="false" outlineLevel="0" collapsed="false">
      <c r="A21" s="43" t="str">
        <f aca="false">B21&amp;"|"&amp;C21</f>
        <v>P3|Mağaza D</v>
      </c>
      <c r="B21" s="44" t="s">
        <v>15</v>
      </c>
      <c r="C21" s="44" t="s">
        <v>58</v>
      </c>
      <c r="D21" s="44" t="n">
        <v>23963</v>
      </c>
      <c r="E21" s="44" t="n">
        <v>2848</v>
      </c>
      <c r="F21" s="45" t="n">
        <v>2875560</v>
      </c>
      <c r="G21" s="45" t="n">
        <v>325508</v>
      </c>
    </row>
    <row r="22" customFormat="false" ht="15" hidden="false" customHeight="false" outlineLevel="0" collapsed="false">
      <c r="A22" s="43" t="str">
        <f aca="false">B22&amp;"|"&amp;C22</f>
        <v>P3|Mağaza E</v>
      </c>
      <c r="B22" s="44" t="s">
        <v>15</v>
      </c>
      <c r="C22" s="44" t="s">
        <v>60</v>
      </c>
      <c r="D22" s="44" t="n">
        <v>18445</v>
      </c>
      <c r="E22" s="44" t="n">
        <v>2342</v>
      </c>
      <c r="F22" s="45" t="n">
        <v>2213400</v>
      </c>
      <c r="G22" s="45" t="n">
        <v>267634</v>
      </c>
    </row>
    <row r="23" customFormat="false" ht="15" hidden="false" customHeight="false" outlineLevel="0" collapsed="false">
      <c r="A23" s="43" t="str">
        <f aca="false">B23&amp;"|"&amp;C23</f>
        <v>P3|Mağaza F</v>
      </c>
      <c r="B23" s="44" t="s">
        <v>15</v>
      </c>
      <c r="C23" s="44" t="s">
        <v>62</v>
      </c>
      <c r="D23" s="44" t="n">
        <v>16864</v>
      </c>
      <c r="E23" s="44" t="n">
        <v>2504</v>
      </c>
      <c r="F23" s="45" t="n">
        <v>2023680</v>
      </c>
      <c r="G23" s="45" t="n">
        <v>286130</v>
      </c>
    </row>
    <row r="24" customFormat="false" ht="15" hidden="false" customHeight="false" outlineLevel="0" collapsed="false">
      <c r="A24" s="43" t="str">
        <f aca="false">B24&amp;"|"&amp;C24</f>
        <v>P3|Mağaza G</v>
      </c>
      <c r="B24" s="44" t="s">
        <v>15</v>
      </c>
      <c r="C24" s="44" t="s">
        <v>63</v>
      </c>
      <c r="D24" s="44" t="n">
        <v>11873</v>
      </c>
      <c r="E24" s="44" t="n">
        <v>1850</v>
      </c>
      <c r="F24" s="45" t="n">
        <v>1424760</v>
      </c>
      <c r="G24" s="45" t="n">
        <v>211468</v>
      </c>
    </row>
    <row r="25" customFormat="false" ht="15" hidden="false" customHeight="false" outlineLevel="0" collapsed="false">
      <c r="A25" s="43" t="str">
        <f aca="false">B25&amp;"|"&amp;C25</f>
        <v>P3|Mağaza H</v>
      </c>
      <c r="B25" s="44" t="s">
        <v>15</v>
      </c>
      <c r="C25" s="44" t="s">
        <v>64</v>
      </c>
      <c r="D25" s="44" t="n">
        <v>16430</v>
      </c>
      <c r="E25" s="44" t="n">
        <v>2671</v>
      </c>
      <c r="F25" s="45" t="n">
        <v>1971600</v>
      </c>
      <c r="G25" s="45" t="n">
        <v>305253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10" min="4" style="0" width="15"/>
  </cols>
  <sheetData>
    <row r="1" customFormat="false" ht="31.5" hidden="false" customHeight="true" outlineLevel="0" collapsed="false">
      <c r="A1" s="10" t="s">
        <v>112</v>
      </c>
      <c r="B1" s="10" t="s">
        <v>113</v>
      </c>
      <c r="C1" s="10" t="s">
        <v>26</v>
      </c>
      <c r="D1" s="10" t="s">
        <v>135</v>
      </c>
      <c r="E1" s="10" t="s">
        <v>136</v>
      </c>
      <c r="F1" s="10" t="s">
        <v>137</v>
      </c>
      <c r="G1" s="10" t="s">
        <v>138</v>
      </c>
      <c r="H1" s="10" t="s">
        <v>139</v>
      </c>
      <c r="I1" s="10" t="s">
        <v>140</v>
      </c>
      <c r="J1" s="10" t="s">
        <v>141</v>
      </c>
    </row>
    <row r="2" customFormat="false" ht="15" hidden="false" customHeight="false" outlineLevel="0" collapsed="false">
      <c r="A2" s="43" t="str">
        <f aca="false">B2&amp;"|"&amp;C2</f>
        <v>P1|Mağaza A</v>
      </c>
      <c r="B2" s="44" t="s">
        <v>116</v>
      </c>
      <c r="C2" s="44" t="s">
        <v>52</v>
      </c>
      <c r="D2" s="44" t="n">
        <v>549</v>
      </c>
      <c r="E2" s="44" t="n">
        <v>45</v>
      </c>
      <c r="F2" s="44" t="n">
        <v>635</v>
      </c>
      <c r="G2" s="44" t="n">
        <v>25</v>
      </c>
      <c r="H2" s="46" t="n">
        <v>0.88</v>
      </c>
      <c r="I2" s="46" t="n">
        <v>0.863</v>
      </c>
      <c r="J2" s="46" t="n">
        <v>0.198</v>
      </c>
    </row>
    <row r="3" customFormat="false" ht="15" hidden="false" customHeight="false" outlineLevel="0" collapsed="false">
      <c r="A3" s="43" t="str">
        <f aca="false">B3&amp;"|"&amp;C3</f>
        <v>P1|Mağaza B</v>
      </c>
      <c r="B3" s="44" t="s">
        <v>116</v>
      </c>
      <c r="C3" s="44" t="s">
        <v>54</v>
      </c>
      <c r="D3" s="44" t="n">
        <v>600</v>
      </c>
      <c r="E3" s="44" t="n">
        <v>41</v>
      </c>
      <c r="F3" s="44" t="n">
        <v>654</v>
      </c>
      <c r="G3" s="44" t="n">
        <v>38</v>
      </c>
      <c r="H3" s="46" t="n">
        <v>0.937</v>
      </c>
      <c r="I3" s="46" t="n">
        <v>0.931</v>
      </c>
      <c r="J3" s="46" t="n">
        <v>0.162</v>
      </c>
    </row>
    <row r="4" customFormat="false" ht="15" hidden="false" customHeight="false" outlineLevel="0" collapsed="false">
      <c r="A4" s="43" t="str">
        <f aca="false">B4&amp;"|"&amp;C4</f>
        <v>P1|Mağaza C</v>
      </c>
      <c r="B4" s="44" t="s">
        <v>116</v>
      </c>
      <c r="C4" s="44" t="s">
        <v>56</v>
      </c>
      <c r="D4" s="44" t="n">
        <v>421</v>
      </c>
      <c r="E4" s="44" t="n">
        <v>34</v>
      </c>
      <c r="F4" s="44" t="n">
        <v>166</v>
      </c>
      <c r="G4" s="44" t="n">
        <v>7</v>
      </c>
      <c r="H4" s="46" t="n">
        <v>0.92</v>
      </c>
      <c r="I4" s="46" t="n">
        <v>0.89</v>
      </c>
      <c r="J4" s="46" t="n">
        <v>0.095</v>
      </c>
    </row>
    <row r="5" customFormat="false" ht="15" hidden="false" customHeight="false" outlineLevel="0" collapsed="false">
      <c r="A5" s="43" t="str">
        <f aca="false">B5&amp;"|"&amp;C5</f>
        <v>P1|Mağaza D</v>
      </c>
      <c r="B5" s="44" t="s">
        <v>116</v>
      </c>
      <c r="C5" s="44" t="s">
        <v>58</v>
      </c>
      <c r="D5" s="44" t="n">
        <v>842</v>
      </c>
      <c r="E5" s="44" t="n">
        <v>48</v>
      </c>
      <c r="F5" s="44" t="n">
        <v>177</v>
      </c>
      <c r="G5" s="44" t="n">
        <v>9</v>
      </c>
      <c r="H5" s="46" t="n">
        <v>0.952</v>
      </c>
      <c r="I5" s="46" t="n">
        <v>0.929</v>
      </c>
      <c r="J5" s="46" t="n">
        <v>0.055</v>
      </c>
    </row>
    <row r="6" customFormat="false" ht="15" hidden="false" customHeight="false" outlineLevel="0" collapsed="false">
      <c r="A6" s="43" t="str">
        <f aca="false">B6&amp;"|"&amp;C6</f>
        <v>P1|Mağaza E</v>
      </c>
      <c r="B6" s="44" t="s">
        <v>116</v>
      </c>
      <c r="C6" s="44" t="s">
        <v>60</v>
      </c>
      <c r="D6" s="44" t="n">
        <v>558</v>
      </c>
      <c r="E6" s="44" t="n">
        <v>31</v>
      </c>
      <c r="F6" s="44" t="n">
        <v>716</v>
      </c>
      <c r="G6" s="44" t="n">
        <v>67</v>
      </c>
      <c r="H6" s="46" t="n">
        <v>0.973</v>
      </c>
      <c r="I6" s="46" t="n">
        <v>0.922</v>
      </c>
      <c r="J6" s="46" t="n">
        <v>0.052</v>
      </c>
    </row>
    <row r="7" customFormat="false" ht="15" hidden="false" customHeight="false" outlineLevel="0" collapsed="false">
      <c r="A7" s="43" t="str">
        <f aca="false">B7&amp;"|"&amp;C7</f>
        <v>P1|Mağaza F</v>
      </c>
      <c r="B7" s="44" t="s">
        <v>116</v>
      </c>
      <c r="C7" s="44" t="s">
        <v>62</v>
      </c>
      <c r="D7" s="44" t="n">
        <v>1097</v>
      </c>
      <c r="E7" s="44" t="n">
        <v>74</v>
      </c>
      <c r="F7" s="44" t="n">
        <v>587</v>
      </c>
      <c r="G7" s="44" t="n">
        <v>44</v>
      </c>
      <c r="H7" s="46" t="n">
        <v>0.983</v>
      </c>
      <c r="I7" s="46" t="n">
        <v>0.937</v>
      </c>
      <c r="J7" s="46" t="n">
        <v>0.179</v>
      </c>
    </row>
    <row r="8" customFormat="false" ht="15" hidden="false" customHeight="false" outlineLevel="0" collapsed="false">
      <c r="A8" s="43" t="str">
        <f aca="false">B8&amp;"|"&amp;C8</f>
        <v>P1|Mağaza G</v>
      </c>
      <c r="B8" s="44" t="s">
        <v>116</v>
      </c>
      <c r="C8" s="44" t="s">
        <v>63</v>
      </c>
      <c r="D8" s="44" t="n">
        <v>1161</v>
      </c>
      <c r="E8" s="44" t="n">
        <v>67</v>
      </c>
      <c r="F8" s="44" t="n">
        <v>544</v>
      </c>
      <c r="G8" s="44" t="n">
        <v>41</v>
      </c>
      <c r="H8" s="46" t="n">
        <v>0.948</v>
      </c>
      <c r="I8" s="46" t="n">
        <v>0.975</v>
      </c>
      <c r="J8" s="46" t="n">
        <v>0.12</v>
      </c>
    </row>
    <row r="9" customFormat="false" ht="15" hidden="false" customHeight="false" outlineLevel="0" collapsed="false">
      <c r="A9" s="43" t="str">
        <f aca="false">B9&amp;"|"&amp;C9</f>
        <v>P1|Mağaza H</v>
      </c>
      <c r="B9" s="44" t="s">
        <v>116</v>
      </c>
      <c r="C9" s="44" t="s">
        <v>64</v>
      </c>
      <c r="D9" s="44" t="n">
        <v>1076</v>
      </c>
      <c r="E9" s="44" t="n">
        <v>48</v>
      </c>
      <c r="F9" s="44" t="n">
        <v>217</v>
      </c>
      <c r="G9" s="44" t="n">
        <v>4</v>
      </c>
      <c r="H9" s="46" t="n">
        <v>0.957</v>
      </c>
      <c r="I9" s="46" t="n">
        <v>0.927</v>
      </c>
      <c r="J9" s="46" t="n">
        <v>0.147</v>
      </c>
    </row>
    <row r="10" customFormat="false" ht="15" hidden="false" customHeight="false" outlineLevel="0" collapsed="false">
      <c r="A10" s="43" t="str">
        <f aca="false">B10&amp;"|"&amp;C10</f>
        <v>P2|Mağaza A</v>
      </c>
      <c r="B10" s="44" t="s">
        <v>117</v>
      </c>
      <c r="C10" s="44" t="s">
        <v>52</v>
      </c>
      <c r="D10" s="44" t="n">
        <v>783</v>
      </c>
      <c r="E10" s="44" t="n">
        <v>25</v>
      </c>
      <c r="F10" s="44" t="n">
        <v>468</v>
      </c>
      <c r="G10" s="44" t="n">
        <v>27</v>
      </c>
      <c r="H10" s="46" t="n">
        <v>0.922</v>
      </c>
      <c r="I10" s="46" t="n">
        <v>0.915</v>
      </c>
      <c r="J10" s="46" t="n">
        <v>0.1</v>
      </c>
    </row>
    <row r="11" customFormat="false" ht="15" hidden="false" customHeight="false" outlineLevel="0" collapsed="false">
      <c r="A11" s="43" t="str">
        <f aca="false">B11&amp;"|"&amp;C11</f>
        <v>P2|Mağaza B</v>
      </c>
      <c r="B11" s="44" t="s">
        <v>117</v>
      </c>
      <c r="C11" s="44" t="s">
        <v>54</v>
      </c>
      <c r="D11" s="44" t="n">
        <v>457</v>
      </c>
      <c r="E11" s="44" t="n">
        <v>31</v>
      </c>
      <c r="F11" s="44" t="n">
        <v>585</v>
      </c>
      <c r="G11" s="44" t="n">
        <v>50</v>
      </c>
      <c r="H11" s="46" t="n">
        <v>0.85</v>
      </c>
      <c r="I11" s="46" t="n">
        <v>0.875</v>
      </c>
      <c r="J11" s="46" t="n">
        <v>0.173</v>
      </c>
    </row>
    <row r="12" customFormat="false" ht="15" hidden="false" customHeight="false" outlineLevel="0" collapsed="false">
      <c r="A12" s="43" t="str">
        <f aca="false">B12&amp;"|"&amp;C12</f>
        <v>P2|Mağaza C</v>
      </c>
      <c r="B12" s="44" t="s">
        <v>117</v>
      </c>
      <c r="C12" s="44" t="s">
        <v>56</v>
      </c>
      <c r="D12" s="44" t="n">
        <v>1110</v>
      </c>
      <c r="E12" s="44" t="n">
        <v>81</v>
      </c>
      <c r="F12" s="44" t="n">
        <v>214</v>
      </c>
      <c r="G12" s="44" t="n">
        <v>5</v>
      </c>
      <c r="H12" s="46" t="n">
        <v>0.948</v>
      </c>
      <c r="I12" s="46" t="n">
        <v>0.987</v>
      </c>
      <c r="J12" s="46" t="n">
        <v>0.2</v>
      </c>
    </row>
    <row r="13" customFormat="false" ht="15" hidden="false" customHeight="false" outlineLevel="0" collapsed="false">
      <c r="A13" s="43" t="str">
        <f aca="false">B13&amp;"|"&amp;C13</f>
        <v>P2|Mağaza D</v>
      </c>
      <c r="B13" s="44" t="s">
        <v>117</v>
      </c>
      <c r="C13" s="44" t="s">
        <v>58</v>
      </c>
      <c r="D13" s="44" t="n">
        <v>1018</v>
      </c>
      <c r="E13" s="44" t="n">
        <v>24</v>
      </c>
      <c r="F13" s="44" t="n">
        <v>648</v>
      </c>
      <c r="G13" s="44" t="n">
        <v>57</v>
      </c>
      <c r="H13" s="46" t="n">
        <v>0.873</v>
      </c>
      <c r="I13" s="46" t="n">
        <v>0.937</v>
      </c>
      <c r="J13" s="46" t="n">
        <v>0.193</v>
      </c>
    </row>
    <row r="14" customFormat="false" ht="15" hidden="false" customHeight="false" outlineLevel="0" collapsed="false">
      <c r="A14" s="43" t="str">
        <f aca="false">B14&amp;"|"&amp;C14</f>
        <v>P2|Mağaza E</v>
      </c>
      <c r="B14" s="44" t="s">
        <v>117</v>
      </c>
      <c r="C14" s="44" t="s">
        <v>60</v>
      </c>
      <c r="D14" s="44" t="n">
        <v>1029</v>
      </c>
      <c r="E14" s="44" t="n">
        <v>102</v>
      </c>
      <c r="F14" s="44" t="n">
        <v>287</v>
      </c>
      <c r="G14" s="44" t="n">
        <v>22</v>
      </c>
      <c r="H14" s="46" t="n">
        <v>0.906</v>
      </c>
      <c r="I14" s="46" t="n">
        <v>0.867</v>
      </c>
      <c r="J14" s="46" t="n">
        <v>0.078</v>
      </c>
    </row>
    <row r="15" customFormat="false" ht="15" hidden="false" customHeight="false" outlineLevel="0" collapsed="false">
      <c r="A15" s="43" t="str">
        <f aca="false">B15&amp;"|"&amp;C15</f>
        <v>P2|Mağaza F</v>
      </c>
      <c r="B15" s="44" t="s">
        <v>117</v>
      </c>
      <c r="C15" s="44" t="s">
        <v>62</v>
      </c>
      <c r="D15" s="44" t="n">
        <v>1121</v>
      </c>
      <c r="E15" s="44" t="n">
        <v>28</v>
      </c>
      <c r="F15" s="44" t="n">
        <v>315</v>
      </c>
      <c r="G15" s="44" t="n">
        <v>12</v>
      </c>
      <c r="H15" s="46" t="n">
        <v>0.923</v>
      </c>
      <c r="I15" s="46" t="n">
        <v>0.939</v>
      </c>
      <c r="J15" s="46" t="n">
        <v>0.162</v>
      </c>
    </row>
    <row r="16" customFormat="false" ht="15" hidden="false" customHeight="false" outlineLevel="0" collapsed="false">
      <c r="A16" s="43" t="str">
        <f aca="false">B16&amp;"|"&amp;C16</f>
        <v>P2|Mağaza G</v>
      </c>
      <c r="B16" s="44" t="s">
        <v>117</v>
      </c>
      <c r="C16" s="44" t="s">
        <v>63</v>
      </c>
      <c r="D16" s="44" t="n">
        <v>586</v>
      </c>
      <c r="E16" s="44" t="n">
        <v>38</v>
      </c>
      <c r="F16" s="44" t="n">
        <v>208</v>
      </c>
      <c r="G16" s="44" t="n">
        <v>6</v>
      </c>
      <c r="H16" s="46" t="n">
        <v>0.9</v>
      </c>
      <c r="I16" s="46" t="n">
        <v>0.934</v>
      </c>
      <c r="J16" s="46" t="n">
        <v>0.051</v>
      </c>
    </row>
    <row r="17" customFormat="false" ht="15" hidden="false" customHeight="false" outlineLevel="0" collapsed="false">
      <c r="A17" s="43" t="str">
        <f aca="false">B17&amp;"|"&amp;C17</f>
        <v>P2|Mağaza H</v>
      </c>
      <c r="B17" s="44" t="s">
        <v>117</v>
      </c>
      <c r="C17" s="44" t="s">
        <v>64</v>
      </c>
      <c r="D17" s="44" t="n">
        <v>393</v>
      </c>
      <c r="E17" s="44" t="n">
        <v>29</v>
      </c>
      <c r="F17" s="44" t="n">
        <v>472</v>
      </c>
      <c r="G17" s="44" t="n">
        <v>28</v>
      </c>
      <c r="H17" s="46" t="n">
        <v>0.893</v>
      </c>
      <c r="I17" s="46" t="n">
        <v>0.938</v>
      </c>
      <c r="J17" s="46" t="n">
        <v>0.187</v>
      </c>
    </row>
    <row r="18" customFormat="false" ht="15" hidden="false" customHeight="false" outlineLevel="0" collapsed="false">
      <c r="A18" s="43" t="str">
        <f aca="false">B18&amp;"|"&amp;C18</f>
        <v>P3|Mağaza A</v>
      </c>
      <c r="B18" s="44" t="s">
        <v>15</v>
      </c>
      <c r="C18" s="44" t="s">
        <v>52</v>
      </c>
      <c r="D18" s="44" t="n">
        <v>441</v>
      </c>
      <c r="E18" s="44" t="n">
        <v>14</v>
      </c>
      <c r="F18" s="44" t="n">
        <v>451</v>
      </c>
      <c r="G18" s="44" t="n">
        <v>32</v>
      </c>
      <c r="H18" s="46" t="n">
        <v>0.916</v>
      </c>
      <c r="I18" s="46" t="n">
        <v>0.977</v>
      </c>
      <c r="J18" s="46" t="n">
        <v>0.133</v>
      </c>
    </row>
    <row r="19" customFormat="false" ht="15" hidden="false" customHeight="false" outlineLevel="0" collapsed="false">
      <c r="A19" s="43" t="str">
        <f aca="false">B19&amp;"|"&amp;C19</f>
        <v>P3|Mağaza B</v>
      </c>
      <c r="B19" s="44" t="s">
        <v>15</v>
      </c>
      <c r="C19" s="44" t="s">
        <v>54</v>
      </c>
      <c r="D19" s="44" t="n">
        <v>935</v>
      </c>
      <c r="E19" s="44" t="n">
        <v>38</v>
      </c>
      <c r="F19" s="44" t="n">
        <v>375</v>
      </c>
      <c r="G19" s="44" t="n">
        <v>24</v>
      </c>
      <c r="H19" s="46" t="n">
        <v>0.878</v>
      </c>
      <c r="I19" s="46" t="n">
        <v>0.953</v>
      </c>
      <c r="J19" s="46" t="n">
        <v>0.128</v>
      </c>
    </row>
    <row r="20" customFormat="false" ht="15" hidden="false" customHeight="false" outlineLevel="0" collapsed="false">
      <c r="A20" s="43" t="str">
        <f aca="false">B20&amp;"|"&amp;C20</f>
        <v>P3|Mağaza C</v>
      </c>
      <c r="B20" s="44" t="s">
        <v>15</v>
      </c>
      <c r="C20" s="44" t="s">
        <v>56</v>
      </c>
      <c r="D20" s="44" t="n">
        <v>436</v>
      </c>
      <c r="E20" s="44" t="n">
        <v>39</v>
      </c>
      <c r="F20" s="44" t="n">
        <v>390</v>
      </c>
      <c r="G20" s="44" t="n">
        <v>22</v>
      </c>
      <c r="H20" s="46" t="n">
        <v>0.898</v>
      </c>
      <c r="I20" s="46" t="n">
        <v>0.86</v>
      </c>
      <c r="J20" s="46" t="n">
        <v>0.053</v>
      </c>
    </row>
    <row r="21" customFormat="false" ht="15" hidden="false" customHeight="false" outlineLevel="0" collapsed="false">
      <c r="A21" s="43" t="str">
        <f aca="false">B21&amp;"|"&amp;C21</f>
        <v>P3|Mağaza D</v>
      </c>
      <c r="B21" s="44" t="s">
        <v>15</v>
      </c>
      <c r="C21" s="44" t="s">
        <v>58</v>
      </c>
      <c r="D21" s="44" t="n">
        <v>649</v>
      </c>
      <c r="E21" s="44" t="n">
        <v>43</v>
      </c>
      <c r="F21" s="44" t="n">
        <v>237</v>
      </c>
      <c r="G21" s="44" t="n">
        <v>5</v>
      </c>
      <c r="H21" s="46" t="n">
        <v>0.97</v>
      </c>
      <c r="I21" s="46" t="n">
        <v>0.916</v>
      </c>
      <c r="J21" s="46" t="n">
        <v>0.118</v>
      </c>
    </row>
    <row r="22" customFormat="false" ht="15" hidden="false" customHeight="false" outlineLevel="0" collapsed="false">
      <c r="A22" s="43" t="str">
        <f aca="false">B22&amp;"|"&amp;C22</f>
        <v>P3|Mağaza E</v>
      </c>
      <c r="B22" s="44" t="s">
        <v>15</v>
      </c>
      <c r="C22" s="44" t="s">
        <v>60</v>
      </c>
      <c r="D22" s="44" t="n">
        <v>699</v>
      </c>
      <c r="E22" s="44" t="n">
        <v>41</v>
      </c>
      <c r="F22" s="44" t="n">
        <v>623</v>
      </c>
      <c r="G22" s="44" t="n">
        <v>29</v>
      </c>
      <c r="H22" s="46" t="n">
        <v>0.959</v>
      </c>
      <c r="I22" s="46" t="n">
        <v>0.844</v>
      </c>
      <c r="J22" s="46" t="n">
        <v>0.159</v>
      </c>
    </row>
    <row r="23" customFormat="false" ht="15" hidden="false" customHeight="false" outlineLevel="0" collapsed="false">
      <c r="A23" s="43" t="str">
        <f aca="false">B23&amp;"|"&amp;C23</f>
        <v>P3|Mağaza F</v>
      </c>
      <c r="B23" s="44" t="s">
        <v>15</v>
      </c>
      <c r="C23" s="44" t="s">
        <v>62</v>
      </c>
      <c r="D23" s="44" t="n">
        <v>354</v>
      </c>
      <c r="E23" s="44" t="n">
        <v>34</v>
      </c>
      <c r="F23" s="44" t="n">
        <v>304</v>
      </c>
      <c r="G23" s="44" t="n">
        <v>17</v>
      </c>
      <c r="H23" s="46" t="n">
        <v>0.959</v>
      </c>
      <c r="I23" s="46" t="n">
        <v>0.952</v>
      </c>
      <c r="J23" s="46" t="n">
        <v>0.063</v>
      </c>
    </row>
    <row r="24" customFormat="false" ht="15" hidden="false" customHeight="false" outlineLevel="0" collapsed="false">
      <c r="A24" s="43" t="str">
        <f aca="false">B24&amp;"|"&amp;C24</f>
        <v>P3|Mağaza G</v>
      </c>
      <c r="B24" s="44" t="s">
        <v>15</v>
      </c>
      <c r="C24" s="44" t="s">
        <v>63</v>
      </c>
      <c r="D24" s="44" t="n">
        <v>981</v>
      </c>
      <c r="E24" s="44" t="n">
        <v>84</v>
      </c>
      <c r="F24" s="44" t="n">
        <v>653</v>
      </c>
      <c r="G24" s="44" t="n">
        <v>20</v>
      </c>
      <c r="H24" s="46" t="n">
        <v>0.934</v>
      </c>
      <c r="I24" s="46" t="n">
        <v>0.893</v>
      </c>
      <c r="J24" s="46" t="n">
        <v>0.085</v>
      </c>
    </row>
    <row r="25" customFormat="false" ht="15" hidden="false" customHeight="false" outlineLevel="0" collapsed="false">
      <c r="A25" s="43" t="str">
        <f aca="false">B25&amp;"|"&amp;C25</f>
        <v>P3|Mağaza H</v>
      </c>
      <c r="B25" s="44" t="s">
        <v>15</v>
      </c>
      <c r="C25" s="44" t="s">
        <v>64</v>
      </c>
      <c r="D25" s="44" t="n">
        <v>641</v>
      </c>
      <c r="E25" s="44" t="n">
        <v>49</v>
      </c>
      <c r="F25" s="44" t="n">
        <v>778</v>
      </c>
      <c r="G25" s="44" t="n">
        <v>65</v>
      </c>
      <c r="H25" s="46" t="n">
        <v>0.897</v>
      </c>
      <c r="I25" s="46" t="n">
        <v>0.948</v>
      </c>
      <c r="J25" s="46" t="n">
        <v>0.104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8" min="4" style="0" width="15"/>
  </cols>
  <sheetData>
    <row r="1" customFormat="false" ht="31.5" hidden="false" customHeight="true" outlineLevel="0" collapsed="false">
      <c r="A1" s="10" t="s">
        <v>112</v>
      </c>
      <c r="B1" s="10" t="s">
        <v>113</v>
      </c>
      <c r="C1" s="10" t="s">
        <v>26</v>
      </c>
      <c r="D1" s="10" t="s">
        <v>142</v>
      </c>
      <c r="E1" s="10" t="s">
        <v>143</v>
      </c>
      <c r="F1" s="10" t="s">
        <v>144</v>
      </c>
      <c r="G1" s="10" t="s">
        <v>145</v>
      </c>
      <c r="H1" s="10" t="s">
        <v>146</v>
      </c>
    </row>
    <row r="2" customFormat="false" ht="15" hidden="false" customHeight="false" outlineLevel="0" collapsed="false">
      <c r="A2" s="43" t="str">
        <f aca="false">B2&amp;"|"&amp;C2</f>
        <v>P1|Mağaza A</v>
      </c>
      <c r="B2" s="44" t="s">
        <v>116</v>
      </c>
      <c r="C2" s="44" t="s">
        <v>52</v>
      </c>
      <c r="D2" s="44" t="n">
        <v>12672</v>
      </c>
      <c r="E2" s="44" t="n">
        <v>3109</v>
      </c>
      <c r="F2" s="44" t="n">
        <v>25631</v>
      </c>
      <c r="G2" s="44" t="n">
        <v>8282</v>
      </c>
      <c r="H2" s="46" t="n">
        <v>0.315</v>
      </c>
    </row>
    <row r="3" customFormat="false" ht="15" hidden="false" customHeight="false" outlineLevel="0" collapsed="false">
      <c r="A3" s="43" t="str">
        <f aca="false">B3&amp;"|"&amp;C3</f>
        <v>P1|Mağaza B</v>
      </c>
      <c r="B3" s="44" t="s">
        <v>116</v>
      </c>
      <c r="C3" s="44" t="s">
        <v>54</v>
      </c>
      <c r="D3" s="44" t="n">
        <v>8488</v>
      </c>
      <c r="E3" s="44" t="n">
        <v>1322</v>
      </c>
      <c r="F3" s="44" t="n">
        <v>18637</v>
      </c>
      <c r="G3" s="44" t="n">
        <v>6696</v>
      </c>
      <c r="H3" s="46" t="n">
        <v>0.34</v>
      </c>
    </row>
    <row r="4" customFormat="false" ht="15" hidden="false" customHeight="false" outlineLevel="0" collapsed="false">
      <c r="A4" s="43" t="str">
        <f aca="false">B4&amp;"|"&amp;C4</f>
        <v>P1|Mağaza C</v>
      </c>
      <c r="B4" s="44" t="s">
        <v>116</v>
      </c>
      <c r="C4" s="44" t="s">
        <v>56</v>
      </c>
      <c r="D4" s="44" t="n">
        <v>6171</v>
      </c>
      <c r="E4" s="44" t="n">
        <v>940</v>
      </c>
      <c r="F4" s="44" t="n">
        <v>13429</v>
      </c>
      <c r="G4" s="44" t="n">
        <v>3541</v>
      </c>
      <c r="H4" s="46" t="n">
        <v>0.245</v>
      </c>
    </row>
    <row r="5" customFormat="false" ht="15" hidden="false" customHeight="false" outlineLevel="0" collapsed="false">
      <c r="A5" s="43" t="str">
        <f aca="false">B5&amp;"|"&amp;C5</f>
        <v>P1|Mağaza D</v>
      </c>
      <c r="B5" s="44" t="s">
        <v>116</v>
      </c>
      <c r="C5" s="44" t="s">
        <v>58</v>
      </c>
      <c r="D5" s="44" t="n">
        <v>16592</v>
      </c>
      <c r="E5" s="44" t="n">
        <v>3474</v>
      </c>
      <c r="F5" s="44" t="n">
        <v>31694</v>
      </c>
      <c r="G5" s="44" t="n">
        <v>11211</v>
      </c>
      <c r="H5" s="46" t="n">
        <v>0.345</v>
      </c>
    </row>
    <row r="6" customFormat="false" ht="15" hidden="false" customHeight="false" outlineLevel="0" collapsed="false">
      <c r="A6" s="43" t="str">
        <f aca="false">B6&amp;"|"&amp;C6</f>
        <v>P1|Mağaza E</v>
      </c>
      <c r="B6" s="44" t="s">
        <v>116</v>
      </c>
      <c r="C6" s="44" t="s">
        <v>60</v>
      </c>
      <c r="D6" s="44" t="n">
        <v>10881</v>
      </c>
      <c r="E6" s="44" t="n">
        <v>2635</v>
      </c>
      <c r="F6" s="44" t="n">
        <v>21167</v>
      </c>
      <c r="G6" s="44" t="n">
        <v>6140</v>
      </c>
      <c r="H6" s="46" t="n">
        <v>0.315</v>
      </c>
    </row>
    <row r="7" customFormat="false" ht="15" hidden="false" customHeight="false" outlineLevel="0" collapsed="false">
      <c r="A7" s="43" t="str">
        <f aca="false">B7&amp;"|"&amp;C7</f>
        <v>P1|Mağaza F</v>
      </c>
      <c r="B7" s="44" t="s">
        <v>116</v>
      </c>
      <c r="C7" s="44" t="s">
        <v>62</v>
      </c>
      <c r="D7" s="44" t="n">
        <v>9754</v>
      </c>
      <c r="E7" s="44" t="n">
        <v>1492</v>
      </c>
      <c r="F7" s="44" t="n">
        <v>19567</v>
      </c>
      <c r="G7" s="44" t="n">
        <v>5991</v>
      </c>
      <c r="H7" s="46" t="n">
        <v>0.315</v>
      </c>
    </row>
    <row r="8" customFormat="false" ht="15" hidden="false" customHeight="false" outlineLevel="0" collapsed="false">
      <c r="A8" s="43" t="str">
        <f aca="false">B8&amp;"|"&amp;C8</f>
        <v>P1|Mağaza G</v>
      </c>
      <c r="B8" s="44" t="s">
        <v>116</v>
      </c>
      <c r="C8" s="44" t="s">
        <v>63</v>
      </c>
      <c r="D8" s="44" t="n">
        <v>6872</v>
      </c>
      <c r="E8" s="44" t="n">
        <v>1610</v>
      </c>
      <c r="F8" s="44" t="n">
        <v>14917</v>
      </c>
      <c r="G8" s="44" t="n">
        <v>5175</v>
      </c>
      <c r="H8" s="46" t="n">
        <v>0.345</v>
      </c>
    </row>
    <row r="9" customFormat="false" ht="15" hidden="false" customHeight="false" outlineLevel="0" collapsed="false">
      <c r="A9" s="43" t="str">
        <f aca="false">B9&amp;"|"&amp;C9</f>
        <v>P1|Mağaza H</v>
      </c>
      <c r="B9" s="44" t="s">
        <v>116</v>
      </c>
      <c r="C9" s="44" t="s">
        <v>64</v>
      </c>
      <c r="D9" s="44" t="n">
        <v>9256</v>
      </c>
      <c r="E9" s="44" t="n">
        <v>2112</v>
      </c>
      <c r="F9" s="44" t="n">
        <v>17372</v>
      </c>
      <c r="G9" s="44" t="n">
        <v>4708</v>
      </c>
      <c r="H9" s="46" t="n">
        <v>0.286</v>
      </c>
    </row>
    <row r="10" customFormat="false" ht="15" hidden="false" customHeight="false" outlineLevel="0" collapsed="false">
      <c r="A10" s="43" t="str">
        <f aca="false">B10&amp;"|"&amp;C10</f>
        <v>P2|Mağaza A</v>
      </c>
      <c r="B10" s="44" t="s">
        <v>117</v>
      </c>
      <c r="C10" s="44" t="s">
        <v>52</v>
      </c>
      <c r="D10" s="44" t="n">
        <v>12751</v>
      </c>
      <c r="E10" s="44" t="n">
        <v>3029</v>
      </c>
      <c r="F10" s="44" t="n">
        <v>23150</v>
      </c>
      <c r="G10" s="44" t="n">
        <v>6096</v>
      </c>
      <c r="H10" s="46" t="n">
        <v>0.254</v>
      </c>
    </row>
    <row r="11" customFormat="false" ht="15" hidden="false" customHeight="false" outlineLevel="0" collapsed="false">
      <c r="A11" s="43" t="str">
        <f aca="false">B11&amp;"|"&amp;C11</f>
        <v>P2|Mağaza B</v>
      </c>
      <c r="B11" s="44" t="s">
        <v>117</v>
      </c>
      <c r="C11" s="44" t="s">
        <v>54</v>
      </c>
      <c r="D11" s="44" t="n">
        <v>9380</v>
      </c>
      <c r="E11" s="44" t="n">
        <v>1286</v>
      </c>
      <c r="F11" s="44" t="n">
        <v>16666</v>
      </c>
      <c r="G11" s="44" t="n">
        <v>4860</v>
      </c>
      <c r="H11" s="46" t="n">
        <v>0.263</v>
      </c>
    </row>
    <row r="12" customFormat="false" ht="15" hidden="false" customHeight="false" outlineLevel="0" collapsed="false">
      <c r="A12" s="43" t="str">
        <f aca="false">B12&amp;"|"&amp;C12</f>
        <v>P2|Mağaza C</v>
      </c>
      <c r="B12" s="44" t="s">
        <v>117</v>
      </c>
      <c r="C12" s="44" t="s">
        <v>56</v>
      </c>
      <c r="D12" s="44" t="n">
        <v>7317</v>
      </c>
      <c r="E12" s="44" t="n">
        <v>1088</v>
      </c>
      <c r="F12" s="44" t="n">
        <v>14112</v>
      </c>
      <c r="G12" s="44" t="n">
        <v>4867</v>
      </c>
      <c r="H12" s="46" t="n">
        <v>0.362</v>
      </c>
    </row>
    <row r="13" customFormat="false" ht="15" hidden="false" customHeight="false" outlineLevel="0" collapsed="false">
      <c r="A13" s="43" t="str">
        <f aca="false">B13&amp;"|"&amp;C13</f>
        <v>P2|Mağaza D</v>
      </c>
      <c r="B13" s="44" t="s">
        <v>117</v>
      </c>
      <c r="C13" s="44" t="s">
        <v>58</v>
      </c>
      <c r="D13" s="44" t="n">
        <v>14962</v>
      </c>
      <c r="E13" s="44" t="n">
        <v>2376</v>
      </c>
      <c r="F13" s="44" t="n">
        <v>30005</v>
      </c>
      <c r="G13" s="44" t="n">
        <v>9163</v>
      </c>
      <c r="H13" s="46" t="n">
        <v>0.335</v>
      </c>
    </row>
    <row r="14" customFormat="false" ht="15" hidden="false" customHeight="false" outlineLevel="0" collapsed="false">
      <c r="A14" s="43" t="str">
        <f aca="false">B14&amp;"|"&amp;C14</f>
        <v>P2|Mağaza E</v>
      </c>
      <c r="B14" s="44" t="s">
        <v>117</v>
      </c>
      <c r="C14" s="44" t="s">
        <v>60</v>
      </c>
      <c r="D14" s="44" t="n">
        <v>8333</v>
      </c>
      <c r="E14" s="44" t="n">
        <v>1658</v>
      </c>
      <c r="F14" s="44" t="n">
        <v>18312</v>
      </c>
      <c r="G14" s="44" t="n">
        <v>6070</v>
      </c>
      <c r="H14" s="46" t="n">
        <v>0.341</v>
      </c>
    </row>
    <row r="15" customFormat="false" ht="15" hidden="false" customHeight="false" outlineLevel="0" collapsed="false">
      <c r="A15" s="43" t="str">
        <f aca="false">B15&amp;"|"&amp;C15</f>
        <v>P2|Mağaza F</v>
      </c>
      <c r="B15" s="44" t="s">
        <v>117</v>
      </c>
      <c r="C15" s="44" t="s">
        <v>62</v>
      </c>
      <c r="D15" s="44" t="n">
        <v>10192</v>
      </c>
      <c r="E15" s="44" t="n">
        <v>2189</v>
      </c>
      <c r="F15" s="44" t="n">
        <v>18782</v>
      </c>
      <c r="G15" s="44" t="n">
        <v>6596</v>
      </c>
      <c r="H15" s="46" t="n">
        <v>0.362</v>
      </c>
    </row>
    <row r="16" customFormat="false" ht="15" hidden="false" customHeight="false" outlineLevel="0" collapsed="false">
      <c r="A16" s="43" t="str">
        <f aca="false">B16&amp;"|"&amp;C16</f>
        <v>P2|Mağaza G</v>
      </c>
      <c r="B16" s="44" t="s">
        <v>117</v>
      </c>
      <c r="C16" s="44" t="s">
        <v>63</v>
      </c>
      <c r="D16" s="44" t="n">
        <v>6532</v>
      </c>
      <c r="E16" s="44" t="n">
        <v>902</v>
      </c>
      <c r="F16" s="44" t="n">
        <v>13675</v>
      </c>
      <c r="G16" s="44" t="n">
        <v>4050</v>
      </c>
      <c r="H16" s="46" t="n">
        <v>0.326</v>
      </c>
    </row>
    <row r="17" customFormat="false" ht="15" hidden="false" customHeight="false" outlineLevel="0" collapsed="false">
      <c r="A17" s="43" t="str">
        <f aca="false">B17&amp;"|"&amp;C17</f>
        <v>P2|Mağaza H</v>
      </c>
      <c r="B17" s="44" t="s">
        <v>117</v>
      </c>
      <c r="C17" s="44" t="s">
        <v>64</v>
      </c>
      <c r="D17" s="44" t="n">
        <v>8040</v>
      </c>
      <c r="E17" s="44" t="n">
        <v>1215</v>
      </c>
      <c r="F17" s="44" t="n">
        <v>15456</v>
      </c>
      <c r="G17" s="44" t="n">
        <v>5218</v>
      </c>
      <c r="H17" s="46" t="n">
        <v>0.32</v>
      </c>
    </row>
    <row r="18" customFormat="false" ht="15" hidden="false" customHeight="false" outlineLevel="0" collapsed="false">
      <c r="A18" s="43" t="str">
        <f aca="false">B18&amp;"|"&amp;C18</f>
        <v>P3|Mağaza A</v>
      </c>
      <c r="B18" s="44" t="s">
        <v>15</v>
      </c>
      <c r="C18" s="44" t="s">
        <v>52</v>
      </c>
      <c r="D18" s="44" t="n">
        <v>10565</v>
      </c>
      <c r="E18" s="44" t="n">
        <v>2294</v>
      </c>
      <c r="F18" s="44" t="n">
        <v>23138</v>
      </c>
      <c r="G18" s="44" t="n">
        <v>7424</v>
      </c>
      <c r="H18" s="46" t="n">
        <v>0.307</v>
      </c>
    </row>
    <row r="19" customFormat="false" ht="15" hidden="false" customHeight="false" outlineLevel="0" collapsed="false">
      <c r="A19" s="43" t="str">
        <f aca="false">B19&amp;"|"&amp;C19</f>
        <v>P3|Mağaza B</v>
      </c>
      <c r="B19" s="44" t="s">
        <v>15</v>
      </c>
      <c r="C19" s="44" t="s">
        <v>54</v>
      </c>
      <c r="D19" s="44" t="n">
        <v>8770</v>
      </c>
      <c r="E19" s="44" t="n">
        <v>1857</v>
      </c>
      <c r="F19" s="44" t="n">
        <v>16889</v>
      </c>
      <c r="G19" s="44" t="n">
        <v>5156</v>
      </c>
      <c r="H19" s="46" t="n">
        <v>0.285</v>
      </c>
    </row>
    <row r="20" customFormat="false" ht="15" hidden="false" customHeight="false" outlineLevel="0" collapsed="false">
      <c r="A20" s="43" t="str">
        <f aca="false">B20&amp;"|"&amp;C20</f>
        <v>P3|Mağaza C</v>
      </c>
      <c r="B20" s="44" t="s">
        <v>15</v>
      </c>
      <c r="C20" s="44" t="s">
        <v>56</v>
      </c>
      <c r="D20" s="44" t="n">
        <v>6415</v>
      </c>
      <c r="E20" s="44" t="n">
        <v>1478</v>
      </c>
      <c r="F20" s="44" t="n">
        <v>14099</v>
      </c>
      <c r="G20" s="44" t="n">
        <v>4844</v>
      </c>
      <c r="H20" s="46" t="n">
        <v>0.347</v>
      </c>
    </row>
    <row r="21" customFormat="false" ht="15" hidden="false" customHeight="false" outlineLevel="0" collapsed="false">
      <c r="A21" s="43" t="str">
        <f aca="false">B21&amp;"|"&amp;C21</f>
        <v>P3|Mağaza D</v>
      </c>
      <c r="B21" s="44" t="s">
        <v>15</v>
      </c>
      <c r="C21" s="44" t="s">
        <v>58</v>
      </c>
      <c r="D21" s="44" t="n">
        <v>16993</v>
      </c>
      <c r="E21" s="44" t="n">
        <v>2692</v>
      </c>
      <c r="F21" s="44" t="n">
        <v>28756</v>
      </c>
      <c r="G21" s="44" t="n">
        <v>9537</v>
      </c>
      <c r="H21" s="46" t="n">
        <v>0.35</v>
      </c>
    </row>
    <row r="22" customFormat="false" ht="15" hidden="false" customHeight="false" outlineLevel="0" collapsed="false">
      <c r="A22" s="43" t="str">
        <f aca="false">B22&amp;"|"&amp;C22</f>
        <v>P3|Mağaza E</v>
      </c>
      <c r="B22" s="44" t="s">
        <v>15</v>
      </c>
      <c r="C22" s="44" t="s">
        <v>60</v>
      </c>
      <c r="D22" s="44" t="n">
        <v>10266</v>
      </c>
      <c r="E22" s="44" t="n">
        <v>2176</v>
      </c>
      <c r="F22" s="44" t="n">
        <v>22134</v>
      </c>
      <c r="G22" s="44" t="n">
        <v>6798</v>
      </c>
      <c r="H22" s="46" t="n">
        <v>0.316</v>
      </c>
    </row>
    <row r="23" customFormat="false" ht="15" hidden="false" customHeight="false" outlineLevel="0" collapsed="false">
      <c r="A23" s="43" t="str">
        <f aca="false">B23&amp;"|"&amp;C23</f>
        <v>P3|Mağaza F</v>
      </c>
      <c r="B23" s="44" t="s">
        <v>15</v>
      </c>
      <c r="C23" s="44" t="s">
        <v>62</v>
      </c>
      <c r="D23" s="44" t="n">
        <v>10617</v>
      </c>
      <c r="E23" s="44" t="n">
        <v>1441</v>
      </c>
      <c r="F23" s="44" t="n">
        <v>20237</v>
      </c>
      <c r="G23" s="44" t="n">
        <v>6843</v>
      </c>
      <c r="H23" s="46" t="n">
        <v>0.358</v>
      </c>
    </row>
    <row r="24" customFormat="false" ht="15" hidden="false" customHeight="false" outlineLevel="0" collapsed="false">
      <c r="A24" s="43" t="str">
        <f aca="false">B24&amp;"|"&amp;C24</f>
        <v>P3|Mağaza G</v>
      </c>
      <c r="B24" s="44" t="s">
        <v>15</v>
      </c>
      <c r="C24" s="44" t="s">
        <v>63</v>
      </c>
      <c r="D24" s="44" t="n">
        <v>7365</v>
      </c>
      <c r="E24" s="44" t="n">
        <v>1731</v>
      </c>
      <c r="F24" s="44" t="n">
        <v>14248</v>
      </c>
      <c r="G24" s="44" t="n">
        <v>4617</v>
      </c>
      <c r="H24" s="46" t="n">
        <v>0.351</v>
      </c>
    </row>
    <row r="25" customFormat="false" ht="15" hidden="false" customHeight="false" outlineLevel="0" collapsed="false">
      <c r="A25" s="43" t="str">
        <f aca="false">B25&amp;"|"&amp;C25</f>
        <v>P3|Mağaza H</v>
      </c>
      <c r="B25" s="44" t="s">
        <v>15</v>
      </c>
      <c r="C25" s="44" t="s">
        <v>64</v>
      </c>
      <c r="D25" s="44" t="n">
        <v>9447</v>
      </c>
      <c r="E25" s="44" t="n">
        <v>1954</v>
      </c>
      <c r="F25" s="44" t="n">
        <v>19716</v>
      </c>
      <c r="G25" s="44" t="n">
        <v>6498</v>
      </c>
      <c r="H25" s="46" t="n">
        <v>0.311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7" min="4" style="0" width="15"/>
  </cols>
  <sheetData>
    <row r="1" customFormat="false" ht="31.5" hidden="false" customHeight="true" outlineLevel="0" collapsed="false">
      <c r="A1" s="10" t="s">
        <v>112</v>
      </c>
      <c r="B1" s="10" t="s">
        <v>113</v>
      </c>
      <c r="C1" s="10" t="s">
        <v>26</v>
      </c>
      <c r="D1" s="10" t="s">
        <v>147</v>
      </c>
      <c r="E1" s="10" t="s">
        <v>148</v>
      </c>
      <c r="F1" s="10" t="s">
        <v>29</v>
      </c>
      <c r="G1" s="10" t="s">
        <v>149</v>
      </c>
    </row>
    <row r="2" customFormat="false" ht="15" hidden="false" customHeight="false" outlineLevel="0" collapsed="false">
      <c r="A2" s="43" t="str">
        <f aca="false">B2&amp;"|"&amp;C2</f>
        <v>P1|Mağaza A</v>
      </c>
      <c r="B2" s="44" t="s">
        <v>116</v>
      </c>
      <c r="C2" s="44" t="s">
        <v>52</v>
      </c>
      <c r="D2" s="45" t="n">
        <v>509279</v>
      </c>
      <c r="E2" s="45" t="n">
        <v>48695</v>
      </c>
      <c r="F2" s="45" t="n">
        <v>2563080</v>
      </c>
      <c r="G2" s="45" t="n">
        <v>-772</v>
      </c>
    </row>
    <row r="3" customFormat="false" ht="15" hidden="false" customHeight="false" outlineLevel="0" collapsed="false">
      <c r="A3" s="43" t="str">
        <f aca="false">B3&amp;"|"&amp;C3</f>
        <v>P1|Mağaza B</v>
      </c>
      <c r="B3" s="44" t="s">
        <v>116</v>
      </c>
      <c r="C3" s="44" t="s">
        <v>54</v>
      </c>
      <c r="D3" s="45" t="n">
        <v>348414</v>
      </c>
      <c r="E3" s="45" t="n">
        <v>34531</v>
      </c>
      <c r="F3" s="45" t="n">
        <v>1863720</v>
      </c>
      <c r="G3" s="45" t="n">
        <v>-13454</v>
      </c>
    </row>
    <row r="4" customFormat="false" ht="15" hidden="false" customHeight="false" outlineLevel="0" collapsed="false">
      <c r="A4" s="43" t="str">
        <f aca="false">B4&amp;"|"&amp;C4</f>
        <v>P1|Mağaza C</v>
      </c>
      <c r="B4" s="44" t="s">
        <v>116</v>
      </c>
      <c r="C4" s="44" t="s">
        <v>56</v>
      </c>
      <c r="D4" s="45" t="n">
        <v>249823</v>
      </c>
      <c r="E4" s="45" t="n">
        <v>20937</v>
      </c>
      <c r="F4" s="45" t="n">
        <v>1342920</v>
      </c>
      <c r="G4" s="45" t="n">
        <v>-2854</v>
      </c>
    </row>
    <row r="5" customFormat="false" ht="15" hidden="false" customHeight="false" outlineLevel="0" collapsed="false">
      <c r="A5" s="43" t="str">
        <f aca="false">B5&amp;"|"&amp;C5</f>
        <v>P1|Mağaza D</v>
      </c>
      <c r="B5" s="44" t="s">
        <v>116</v>
      </c>
      <c r="C5" s="44" t="s">
        <v>58</v>
      </c>
      <c r="D5" s="45" t="n">
        <v>682371</v>
      </c>
      <c r="E5" s="45" t="n">
        <v>41936</v>
      </c>
      <c r="F5" s="45" t="n">
        <v>3169440</v>
      </c>
      <c r="G5" s="45" t="n">
        <v>-13771</v>
      </c>
    </row>
    <row r="6" customFormat="false" ht="15" hidden="false" customHeight="false" outlineLevel="0" collapsed="false">
      <c r="A6" s="43" t="str">
        <f aca="false">B6&amp;"|"&amp;C6</f>
        <v>P1|Mağaza E</v>
      </c>
      <c r="B6" s="44" t="s">
        <v>116</v>
      </c>
      <c r="C6" s="44" t="s">
        <v>60</v>
      </c>
      <c r="D6" s="45" t="n">
        <v>511072</v>
      </c>
      <c r="E6" s="45" t="n">
        <v>36459</v>
      </c>
      <c r="F6" s="45" t="n">
        <v>2116680</v>
      </c>
      <c r="G6" s="45" t="n">
        <v>-15960</v>
      </c>
    </row>
    <row r="7" customFormat="false" ht="15" hidden="false" customHeight="false" outlineLevel="0" collapsed="false">
      <c r="A7" s="43" t="str">
        <f aca="false">B7&amp;"|"&amp;C7</f>
        <v>P1|Mağaza F</v>
      </c>
      <c r="B7" s="44" t="s">
        <v>116</v>
      </c>
      <c r="C7" s="44" t="s">
        <v>62</v>
      </c>
      <c r="D7" s="45" t="n">
        <v>354143</v>
      </c>
      <c r="E7" s="45" t="n">
        <v>30233</v>
      </c>
      <c r="F7" s="45" t="n">
        <v>1956720</v>
      </c>
      <c r="G7" s="45" t="n">
        <v>-2789</v>
      </c>
    </row>
    <row r="8" customFormat="false" ht="15" hidden="false" customHeight="false" outlineLevel="0" collapsed="false">
      <c r="A8" s="43" t="str">
        <f aca="false">B8&amp;"|"&amp;C8</f>
        <v>P1|Mağaza G</v>
      </c>
      <c r="B8" s="44" t="s">
        <v>116</v>
      </c>
      <c r="C8" s="44" t="s">
        <v>63</v>
      </c>
      <c r="D8" s="45" t="n">
        <v>374900</v>
      </c>
      <c r="E8" s="45" t="n">
        <v>37483</v>
      </c>
      <c r="F8" s="45" t="n">
        <v>1491720</v>
      </c>
      <c r="G8" s="45" t="n">
        <v>-4327</v>
      </c>
    </row>
    <row r="9" customFormat="false" ht="15" hidden="false" customHeight="false" outlineLevel="0" collapsed="false">
      <c r="A9" s="43" t="str">
        <f aca="false">B9&amp;"|"&amp;C9</f>
        <v>P1|Mağaza H</v>
      </c>
      <c r="B9" s="44" t="s">
        <v>116</v>
      </c>
      <c r="C9" s="44" t="s">
        <v>64</v>
      </c>
      <c r="D9" s="45" t="n">
        <v>331982</v>
      </c>
      <c r="E9" s="45" t="n">
        <v>22905</v>
      </c>
      <c r="F9" s="45" t="n">
        <v>1737240</v>
      </c>
      <c r="G9" s="45" t="n">
        <v>-731</v>
      </c>
    </row>
    <row r="10" customFormat="false" ht="15" hidden="false" customHeight="false" outlineLevel="0" collapsed="false">
      <c r="A10" s="43" t="str">
        <f aca="false">B10&amp;"|"&amp;C10</f>
        <v>P2|Mağaza A</v>
      </c>
      <c r="B10" s="44" t="s">
        <v>117</v>
      </c>
      <c r="C10" s="44" t="s">
        <v>52</v>
      </c>
      <c r="D10" s="45" t="n">
        <v>465505</v>
      </c>
      <c r="E10" s="45" t="n">
        <v>29865</v>
      </c>
      <c r="F10" s="45" t="n">
        <v>2315040</v>
      </c>
      <c r="G10" s="45" t="n">
        <v>-17457</v>
      </c>
    </row>
    <row r="11" customFormat="false" ht="15" hidden="false" customHeight="false" outlineLevel="0" collapsed="false">
      <c r="A11" s="43" t="str">
        <f aca="false">B11&amp;"|"&amp;C11</f>
        <v>P2|Mağaza B</v>
      </c>
      <c r="B11" s="44" t="s">
        <v>117</v>
      </c>
      <c r="C11" s="44" t="s">
        <v>54</v>
      </c>
      <c r="D11" s="45" t="n">
        <v>371544</v>
      </c>
      <c r="E11" s="45" t="n">
        <v>25375</v>
      </c>
      <c r="F11" s="45" t="n">
        <v>1666560</v>
      </c>
      <c r="G11" s="45" t="n">
        <v>-2218</v>
      </c>
    </row>
    <row r="12" customFormat="false" ht="15" hidden="false" customHeight="false" outlineLevel="0" collapsed="false">
      <c r="A12" s="43" t="str">
        <f aca="false">B12&amp;"|"&amp;C12</f>
        <v>P2|Mağaza C</v>
      </c>
      <c r="B12" s="44" t="s">
        <v>117</v>
      </c>
      <c r="C12" s="44" t="s">
        <v>56</v>
      </c>
      <c r="D12" s="45" t="n">
        <v>344198</v>
      </c>
      <c r="E12" s="45" t="n">
        <v>33754</v>
      </c>
      <c r="F12" s="45" t="n">
        <v>1411200</v>
      </c>
      <c r="G12" s="45" t="n">
        <v>-2358</v>
      </c>
    </row>
    <row r="13" customFormat="false" ht="15" hidden="false" customHeight="false" outlineLevel="0" collapsed="false">
      <c r="A13" s="43" t="str">
        <f aca="false">B13&amp;"|"&amp;C13</f>
        <v>P2|Mağaza D</v>
      </c>
      <c r="B13" s="44" t="s">
        <v>117</v>
      </c>
      <c r="C13" s="44" t="s">
        <v>58</v>
      </c>
      <c r="D13" s="45" t="n">
        <v>606297</v>
      </c>
      <c r="E13" s="45" t="n">
        <v>42174</v>
      </c>
      <c r="F13" s="45" t="n">
        <v>3000480</v>
      </c>
      <c r="G13" s="45" t="n">
        <v>-18793</v>
      </c>
    </row>
    <row r="14" customFormat="false" ht="15" hidden="false" customHeight="false" outlineLevel="0" collapsed="false">
      <c r="A14" s="43" t="str">
        <f aca="false">B14&amp;"|"&amp;C14</f>
        <v>P2|Mağaza E</v>
      </c>
      <c r="B14" s="44" t="s">
        <v>117</v>
      </c>
      <c r="C14" s="44" t="s">
        <v>60</v>
      </c>
      <c r="D14" s="45" t="n">
        <v>432691</v>
      </c>
      <c r="E14" s="45" t="n">
        <v>37978</v>
      </c>
      <c r="F14" s="45" t="n">
        <v>1831200</v>
      </c>
      <c r="G14" s="45" t="n">
        <v>1299</v>
      </c>
    </row>
    <row r="15" customFormat="false" ht="15" hidden="false" customHeight="false" outlineLevel="0" collapsed="false">
      <c r="A15" s="43" t="str">
        <f aca="false">B15&amp;"|"&amp;C15</f>
        <v>P2|Mağaza F</v>
      </c>
      <c r="B15" s="44" t="s">
        <v>117</v>
      </c>
      <c r="C15" s="44" t="s">
        <v>62</v>
      </c>
      <c r="D15" s="45" t="n">
        <v>471142</v>
      </c>
      <c r="E15" s="45" t="n">
        <v>20877</v>
      </c>
      <c r="F15" s="45" t="n">
        <v>1878240</v>
      </c>
      <c r="G15" s="45" t="n">
        <v>-1007</v>
      </c>
    </row>
    <row r="16" customFormat="false" ht="15" hidden="false" customHeight="false" outlineLevel="0" collapsed="false">
      <c r="A16" s="43" t="str">
        <f aca="false">B16&amp;"|"&amp;C16</f>
        <v>P2|Mağaza G</v>
      </c>
      <c r="B16" s="44" t="s">
        <v>117</v>
      </c>
      <c r="C16" s="44" t="s">
        <v>63</v>
      </c>
      <c r="D16" s="45" t="n">
        <v>287711</v>
      </c>
      <c r="E16" s="45" t="n">
        <v>24788</v>
      </c>
      <c r="F16" s="45" t="n">
        <v>1367520</v>
      </c>
      <c r="G16" s="45" t="n">
        <v>-12307</v>
      </c>
    </row>
    <row r="17" customFormat="false" ht="15" hidden="false" customHeight="false" outlineLevel="0" collapsed="false">
      <c r="A17" s="43" t="str">
        <f aca="false">B17&amp;"|"&amp;C17</f>
        <v>P2|Mağaza H</v>
      </c>
      <c r="B17" s="44" t="s">
        <v>117</v>
      </c>
      <c r="C17" s="44" t="s">
        <v>64</v>
      </c>
      <c r="D17" s="45" t="n">
        <v>313560</v>
      </c>
      <c r="E17" s="45" t="n">
        <v>30233</v>
      </c>
      <c r="F17" s="45" t="n">
        <v>1545600</v>
      </c>
      <c r="G17" s="45" t="n">
        <v>-11674</v>
      </c>
    </row>
    <row r="18" customFormat="false" ht="15" hidden="false" customHeight="false" outlineLevel="0" collapsed="false">
      <c r="A18" s="43" t="str">
        <f aca="false">B18&amp;"|"&amp;C18</f>
        <v>P3|Mağaza A</v>
      </c>
      <c r="B18" s="44" t="s">
        <v>15</v>
      </c>
      <c r="C18" s="44" t="s">
        <v>52</v>
      </c>
      <c r="D18" s="45" t="n">
        <v>421733</v>
      </c>
      <c r="E18" s="45" t="n">
        <v>20500</v>
      </c>
      <c r="F18" s="45" t="n">
        <v>2313840</v>
      </c>
      <c r="G18" s="45" t="n">
        <v>-3324</v>
      </c>
    </row>
    <row r="19" customFormat="false" ht="15" hidden="false" customHeight="false" outlineLevel="0" collapsed="false">
      <c r="A19" s="43" t="str">
        <f aca="false">B19&amp;"|"&amp;C19</f>
        <v>P3|Mağaza B</v>
      </c>
      <c r="B19" s="44" t="s">
        <v>15</v>
      </c>
      <c r="C19" s="44" t="s">
        <v>54</v>
      </c>
      <c r="D19" s="45" t="n">
        <v>409566</v>
      </c>
      <c r="E19" s="45" t="n">
        <v>16843</v>
      </c>
      <c r="F19" s="45" t="n">
        <v>1688880</v>
      </c>
      <c r="G19" s="45" t="n">
        <v>-14323</v>
      </c>
    </row>
    <row r="20" customFormat="false" ht="15" hidden="false" customHeight="false" outlineLevel="0" collapsed="false">
      <c r="A20" s="43" t="str">
        <f aca="false">B20&amp;"|"&amp;C20</f>
        <v>P3|Mağaza C</v>
      </c>
      <c r="B20" s="44" t="s">
        <v>15</v>
      </c>
      <c r="C20" s="44" t="s">
        <v>56</v>
      </c>
      <c r="D20" s="45" t="n">
        <v>302007</v>
      </c>
      <c r="E20" s="45" t="n">
        <v>14011</v>
      </c>
      <c r="F20" s="45" t="n">
        <v>1409880</v>
      </c>
      <c r="G20" s="45" t="n">
        <v>-200</v>
      </c>
    </row>
    <row r="21" customFormat="false" ht="15" hidden="false" customHeight="false" outlineLevel="0" collapsed="false">
      <c r="A21" s="43" t="str">
        <f aca="false">B21&amp;"|"&amp;C21</f>
        <v>P3|Mağaza D</v>
      </c>
      <c r="B21" s="44" t="s">
        <v>15</v>
      </c>
      <c r="C21" s="44" t="s">
        <v>58</v>
      </c>
      <c r="D21" s="45" t="n">
        <v>646870</v>
      </c>
      <c r="E21" s="45" t="n">
        <v>38344</v>
      </c>
      <c r="F21" s="45" t="n">
        <v>2875560</v>
      </c>
      <c r="G21" s="45" t="n">
        <v>-16187</v>
      </c>
    </row>
    <row r="22" customFormat="false" ht="15" hidden="false" customHeight="false" outlineLevel="0" collapsed="false">
      <c r="A22" s="43" t="str">
        <f aca="false">B22&amp;"|"&amp;C22</f>
        <v>P3|Mağaza E</v>
      </c>
      <c r="B22" s="44" t="s">
        <v>15</v>
      </c>
      <c r="C22" s="44" t="s">
        <v>60</v>
      </c>
      <c r="D22" s="45" t="n">
        <v>422729</v>
      </c>
      <c r="E22" s="45" t="n">
        <v>29533</v>
      </c>
      <c r="F22" s="45" t="n">
        <v>2213400</v>
      </c>
      <c r="G22" s="45" t="n">
        <v>-12051</v>
      </c>
    </row>
    <row r="23" customFormat="false" ht="15" hidden="false" customHeight="false" outlineLevel="0" collapsed="false">
      <c r="A23" s="43" t="str">
        <f aca="false">B23&amp;"|"&amp;C23</f>
        <v>P3|Mağaza F</v>
      </c>
      <c r="B23" s="44" t="s">
        <v>15</v>
      </c>
      <c r="C23" s="44" t="s">
        <v>62</v>
      </c>
      <c r="D23" s="45" t="n">
        <v>369773</v>
      </c>
      <c r="E23" s="45" t="n">
        <v>26825</v>
      </c>
      <c r="F23" s="45" t="n">
        <v>2023680</v>
      </c>
      <c r="G23" s="45" t="n">
        <v>-1764</v>
      </c>
    </row>
    <row r="24" customFormat="false" ht="15" hidden="false" customHeight="false" outlineLevel="0" collapsed="false">
      <c r="A24" s="43" t="str">
        <f aca="false">B24&amp;"|"&amp;C24</f>
        <v>P3|Mağaza G</v>
      </c>
      <c r="B24" s="44" t="s">
        <v>15</v>
      </c>
      <c r="C24" s="44" t="s">
        <v>63</v>
      </c>
      <c r="D24" s="45" t="n">
        <v>259636</v>
      </c>
      <c r="E24" s="45" t="n">
        <v>12281</v>
      </c>
      <c r="F24" s="45" t="n">
        <v>1424760</v>
      </c>
      <c r="G24" s="45" t="n">
        <v>2372</v>
      </c>
    </row>
    <row r="25" customFormat="false" ht="15" hidden="false" customHeight="false" outlineLevel="0" collapsed="false">
      <c r="A25" s="43" t="str">
        <f aca="false">B25&amp;"|"&amp;C25</f>
        <v>P3|Mağaza H</v>
      </c>
      <c r="B25" s="44" t="s">
        <v>15</v>
      </c>
      <c r="C25" s="44" t="s">
        <v>64</v>
      </c>
      <c r="D25" s="45" t="n">
        <v>485246</v>
      </c>
      <c r="E25" s="45" t="n">
        <v>32103</v>
      </c>
      <c r="F25" s="45" t="n">
        <v>1971600</v>
      </c>
      <c r="G25" s="45" t="n">
        <v>-12145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5"/>
  </cols>
  <sheetData>
    <row r="1" customFormat="false" ht="31.5" hidden="false" customHeight="true" outlineLevel="0" collapsed="false">
      <c r="A1" s="10" t="s">
        <v>112</v>
      </c>
      <c r="B1" s="10" t="s">
        <v>113</v>
      </c>
      <c r="C1" s="10" t="s">
        <v>26</v>
      </c>
      <c r="D1" s="10" t="s">
        <v>150</v>
      </c>
      <c r="E1" s="10" t="s">
        <v>151</v>
      </c>
    </row>
    <row r="2" customFormat="false" ht="15" hidden="false" customHeight="false" outlineLevel="0" collapsed="false">
      <c r="A2" s="43" t="str">
        <f aca="false">B2&amp;"|"&amp;C2</f>
        <v>P1|Mağaza A</v>
      </c>
      <c r="B2" s="44" t="s">
        <v>116</v>
      </c>
      <c r="C2" s="44" t="s">
        <v>52</v>
      </c>
      <c r="D2" s="44" t="n">
        <v>19</v>
      </c>
      <c r="E2" s="44" t="n">
        <v>19</v>
      </c>
    </row>
    <row r="3" customFormat="false" ht="15" hidden="false" customHeight="false" outlineLevel="0" collapsed="false">
      <c r="A3" s="43" t="str">
        <f aca="false">B3&amp;"|"&amp;C3</f>
        <v>P1|Mağaza B</v>
      </c>
      <c r="B3" s="44" t="s">
        <v>116</v>
      </c>
      <c r="C3" s="44" t="s">
        <v>54</v>
      </c>
      <c r="D3" s="44" t="n">
        <v>13</v>
      </c>
      <c r="E3" s="44" t="n">
        <v>11</v>
      </c>
    </row>
    <row r="4" customFormat="false" ht="15" hidden="false" customHeight="false" outlineLevel="0" collapsed="false">
      <c r="A4" s="43" t="str">
        <f aca="false">B4&amp;"|"&amp;C4</f>
        <v>P1|Mağaza C</v>
      </c>
      <c r="B4" s="44" t="s">
        <v>116</v>
      </c>
      <c r="C4" s="44" t="s">
        <v>56</v>
      </c>
      <c r="D4" s="44" t="n">
        <v>16</v>
      </c>
      <c r="E4" s="44" t="n">
        <v>16</v>
      </c>
    </row>
    <row r="5" customFormat="false" ht="15" hidden="false" customHeight="false" outlineLevel="0" collapsed="false">
      <c r="A5" s="43" t="str">
        <f aca="false">B5&amp;"|"&amp;C5</f>
        <v>P1|Mağaza D</v>
      </c>
      <c r="B5" s="44" t="s">
        <v>116</v>
      </c>
      <c r="C5" s="44" t="s">
        <v>58</v>
      </c>
      <c r="D5" s="44" t="n">
        <v>15</v>
      </c>
      <c r="E5" s="44" t="n">
        <v>15</v>
      </c>
    </row>
    <row r="6" customFormat="false" ht="15" hidden="false" customHeight="false" outlineLevel="0" collapsed="false">
      <c r="A6" s="43" t="str">
        <f aca="false">B6&amp;"|"&amp;C6</f>
        <v>P1|Mağaza E</v>
      </c>
      <c r="B6" s="44" t="s">
        <v>116</v>
      </c>
      <c r="C6" s="44" t="s">
        <v>60</v>
      </c>
      <c r="D6" s="44" t="n">
        <v>15</v>
      </c>
      <c r="E6" s="44" t="n">
        <v>15</v>
      </c>
    </row>
    <row r="7" customFormat="false" ht="15" hidden="false" customHeight="false" outlineLevel="0" collapsed="false">
      <c r="A7" s="43" t="str">
        <f aca="false">B7&amp;"|"&amp;C7</f>
        <v>P1|Mağaza F</v>
      </c>
      <c r="B7" s="44" t="s">
        <v>116</v>
      </c>
      <c r="C7" s="44" t="s">
        <v>62</v>
      </c>
      <c r="D7" s="44" t="n">
        <v>10</v>
      </c>
      <c r="E7" s="44" t="n">
        <v>10</v>
      </c>
    </row>
    <row r="8" customFormat="false" ht="15" hidden="false" customHeight="false" outlineLevel="0" collapsed="false">
      <c r="A8" s="43" t="str">
        <f aca="false">B8&amp;"|"&amp;C8</f>
        <v>P1|Mağaza G</v>
      </c>
      <c r="B8" s="44" t="s">
        <v>116</v>
      </c>
      <c r="C8" s="44" t="s">
        <v>63</v>
      </c>
      <c r="D8" s="44" t="n">
        <v>19</v>
      </c>
      <c r="E8" s="44" t="n">
        <v>17</v>
      </c>
    </row>
    <row r="9" customFormat="false" ht="15" hidden="false" customHeight="false" outlineLevel="0" collapsed="false">
      <c r="A9" s="43" t="str">
        <f aca="false">B9&amp;"|"&amp;C9</f>
        <v>P1|Mağaza H</v>
      </c>
      <c r="B9" s="44" t="s">
        <v>116</v>
      </c>
      <c r="C9" s="44" t="s">
        <v>64</v>
      </c>
      <c r="D9" s="44" t="n">
        <v>12</v>
      </c>
      <c r="E9" s="44" t="n">
        <v>12</v>
      </c>
    </row>
    <row r="10" customFormat="false" ht="15" hidden="false" customHeight="false" outlineLevel="0" collapsed="false">
      <c r="A10" s="43" t="str">
        <f aca="false">B10&amp;"|"&amp;C10</f>
        <v>P2|Mağaza A</v>
      </c>
      <c r="B10" s="44" t="s">
        <v>117</v>
      </c>
      <c r="C10" s="44" t="s">
        <v>52</v>
      </c>
      <c r="D10" s="44" t="n">
        <v>14</v>
      </c>
      <c r="E10" s="44" t="n">
        <v>12</v>
      </c>
    </row>
    <row r="11" customFormat="false" ht="15" hidden="false" customHeight="false" outlineLevel="0" collapsed="false">
      <c r="A11" s="43" t="str">
        <f aca="false">B11&amp;"|"&amp;C11</f>
        <v>P2|Mağaza B</v>
      </c>
      <c r="B11" s="44" t="s">
        <v>117</v>
      </c>
      <c r="C11" s="44" t="s">
        <v>54</v>
      </c>
      <c r="D11" s="44" t="n">
        <v>19</v>
      </c>
      <c r="E11" s="44" t="n">
        <v>19</v>
      </c>
    </row>
    <row r="12" customFormat="false" ht="15" hidden="false" customHeight="false" outlineLevel="0" collapsed="false">
      <c r="A12" s="43" t="str">
        <f aca="false">B12&amp;"|"&amp;C12</f>
        <v>P2|Mağaza C</v>
      </c>
      <c r="B12" s="44" t="s">
        <v>117</v>
      </c>
      <c r="C12" s="44" t="s">
        <v>56</v>
      </c>
      <c r="D12" s="44" t="n">
        <v>20</v>
      </c>
      <c r="E12" s="44" t="n">
        <v>20</v>
      </c>
    </row>
    <row r="13" customFormat="false" ht="15" hidden="false" customHeight="false" outlineLevel="0" collapsed="false">
      <c r="A13" s="43" t="str">
        <f aca="false">B13&amp;"|"&amp;C13</f>
        <v>P2|Mağaza D</v>
      </c>
      <c r="B13" s="44" t="s">
        <v>117</v>
      </c>
      <c r="C13" s="44" t="s">
        <v>58</v>
      </c>
      <c r="D13" s="44" t="n">
        <v>17</v>
      </c>
      <c r="E13" s="44" t="n">
        <v>16</v>
      </c>
    </row>
    <row r="14" customFormat="false" ht="15" hidden="false" customHeight="false" outlineLevel="0" collapsed="false">
      <c r="A14" s="43" t="str">
        <f aca="false">B14&amp;"|"&amp;C14</f>
        <v>P2|Mağaza E</v>
      </c>
      <c r="B14" s="44" t="s">
        <v>117</v>
      </c>
      <c r="C14" s="44" t="s">
        <v>60</v>
      </c>
      <c r="D14" s="44" t="n">
        <v>16</v>
      </c>
      <c r="E14" s="44" t="n">
        <v>16</v>
      </c>
    </row>
    <row r="15" customFormat="false" ht="15" hidden="false" customHeight="false" outlineLevel="0" collapsed="false">
      <c r="A15" s="43" t="str">
        <f aca="false">B15&amp;"|"&amp;C15</f>
        <v>P2|Mağaza F</v>
      </c>
      <c r="B15" s="44" t="s">
        <v>117</v>
      </c>
      <c r="C15" s="44" t="s">
        <v>62</v>
      </c>
      <c r="D15" s="44" t="n">
        <v>15</v>
      </c>
      <c r="E15" s="44" t="n">
        <v>15</v>
      </c>
    </row>
    <row r="16" customFormat="false" ht="15" hidden="false" customHeight="false" outlineLevel="0" collapsed="false">
      <c r="A16" s="43" t="str">
        <f aca="false">B16&amp;"|"&amp;C16</f>
        <v>P2|Mağaza G</v>
      </c>
      <c r="B16" s="44" t="s">
        <v>117</v>
      </c>
      <c r="C16" s="44" t="s">
        <v>63</v>
      </c>
      <c r="D16" s="44" t="n">
        <v>17</v>
      </c>
      <c r="E16" s="44" t="n">
        <v>17</v>
      </c>
    </row>
    <row r="17" customFormat="false" ht="15" hidden="false" customHeight="false" outlineLevel="0" collapsed="false">
      <c r="A17" s="43" t="str">
        <f aca="false">B17&amp;"|"&amp;C17</f>
        <v>P2|Mağaza H</v>
      </c>
      <c r="B17" s="44" t="s">
        <v>117</v>
      </c>
      <c r="C17" s="44" t="s">
        <v>64</v>
      </c>
      <c r="D17" s="44" t="n">
        <v>17</v>
      </c>
      <c r="E17" s="44" t="n">
        <v>15</v>
      </c>
    </row>
    <row r="18" customFormat="false" ht="15" hidden="false" customHeight="false" outlineLevel="0" collapsed="false">
      <c r="A18" s="43" t="str">
        <f aca="false">B18&amp;"|"&amp;C18</f>
        <v>P3|Mağaza A</v>
      </c>
      <c r="B18" s="44" t="s">
        <v>15</v>
      </c>
      <c r="C18" s="44" t="s">
        <v>52</v>
      </c>
      <c r="D18" s="44" t="n">
        <v>16</v>
      </c>
      <c r="E18" s="44" t="n">
        <v>16</v>
      </c>
    </row>
    <row r="19" customFormat="false" ht="15" hidden="false" customHeight="false" outlineLevel="0" collapsed="false">
      <c r="A19" s="43" t="str">
        <f aca="false">B19&amp;"|"&amp;C19</f>
        <v>P3|Mağaza B</v>
      </c>
      <c r="B19" s="44" t="s">
        <v>15</v>
      </c>
      <c r="C19" s="44" t="s">
        <v>54</v>
      </c>
      <c r="D19" s="44" t="n">
        <v>17</v>
      </c>
      <c r="E19" s="44" t="n">
        <v>17</v>
      </c>
    </row>
    <row r="20" customFormat="false" ht="15" hidden="false" customHeight="false" outlineLevel="0" collapsed="false">
      <c r="A20" s="43" t="str">
        <f aca="false">B20&amp;"|"&amp;C20</f>
        <v>P3|Mağaza C</v>
      </c>
      <c r="B20" s="44" t="s">
        <v>15</v>
      </c>
      <c r="C20" s="44" t="s">
        <v>56</v>
      </c>
      <c r="D20" s="44" t="n">
        <v>20</v>
      </c>
      <c r="E20" s="44" t="n">
        <v>20</v>
      </c>
    </row>
    <row r="21" customFormat="false" ht="15" hidden="false" customHeight="false" outlineLevel="0" collapsed="false">
      <c r="A21" s="43" t="str">
        <f aca="false">B21&amp;"|"&amp;C21</f>
        <v>P3|Mağaza D</v>
      </c>
      <c r="B21" s="44" t="s">
        <v>15</v>
      </c>
      <c r="C21" s="44" t="s">
        <v>58</v>
      </c>
      <c r="D21" s="44" t="n">
        <v>18</v>
      </c>
      <c r="E21" s="44" t="n">
        <v>17</v>
      </c>
    </row>
    <row r="22" customFormat="false" ht="15" hidden="false" customHeight="false" outlineLevel="0" collapsed="false">
      <c r="A22" s="43" t="str">
        <f aca="false">B22&amp;"|"&amp;C22</f>
        <v>P3|Mağaza E</v>
      </c>
      <c r="B22" s="44" t="s">
        <v>15</v>
      </c>
      <c r="C22" s="44" t="s">
        <v>60</v>
      </c>
      <c r="D22" s="44" t="n">
        <v>17</v>
      </c>
      <c r="E22" s="44" t="n">
        <v>15</v>
      </c>
    </row>
    <row r="23" customFormat="false" ht="15" hidden="false" customHeight="false" outlineLevel="0" collapsed="false">
      <c r="A23" s="43" t="str">
        <f aca="false">B23&amp;"|"&amp;C23</f>
        <v>P3|Mağaza F</v>
      </c>
      <c r="B23" s="44" t="s">
        <v>15</v>
      </c>
      <c r="C23" s="44" t="s">
        <v>62</v>
      </c>
      <c r="D23" s="44" t="n">
        <v>10</v>
      </c>
      <c r="E23" s="44" t="n">
        <v>10</v>
      </c>
    </row>
    <row r="24" customFormat="false" ht="15" hidden="false" customHeight="false" outlineLevel="0" collapsed="false">
      <c r="A24" s="43" t="str">
        <f aca="false">B24&amp;"|"&amp;C24</f>
        <v>P3|Mağaza G</v>
      </c>
      <c r="B24" s="44" t="s">
        <v>15</v>
      </c>
      <c r="C24" s="44" t="s">
        <v>63</v>
      </c>
      <c r="D24" s="44" t="n">
        <v>12</v>
      </c>
      <c r="E24" s="44" t="n">
        <v>11</v>
      </c>
    </row>
    <row r="25" customFormat="false" ht="15" hidden="false" customHeight="false" outlineLevel="0" collapsed="false">
      <c r="A25" s="43" t="str">
        <f aca="false">B25&amp;"|"&amp;C25</f>
        <v>P3|Mağaza H</v>
      </c>
      <c r="B25" s="44" t="s">
        <v>15</v>
      </c>
      <c r="C25" s="44" t="s">
        <v>64</v>
      </c>
      <c r="D25" s="44" t="n">
        <v>20</v>
      </c>
      <c r="E25" s="44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5"/>
  </cols>
  <sheetData>
    <row r="1" customFormat="false" ht="31.5" hidden="false" customHeight="true" outlineLevel="0" collapsed="false">
      <c r="A1" s="10" t="s">
        <v>112</v>
      </c>
      <c r="B1" s="10" t="s">
        <v>113</v>
      </c>
      <c r="C1" s="10" t="s">
        <v>26</v>
      </c>
      <c r="D1" s="10" t="s">
        <v>152</v>
      </c>
      <c r="E1" s="10" t="s">
        <v>153</v>
      </c>
    </row>
    <row r="2" customFormat="false" ht="15" hidden="false" customHeight="false" outlineLevel="0" collapsed="false">
      <c r="A2" s="43" t="str">
        <f aca="false">B2&amp;"|"&amp;C2</f>
        <v>P1|Mağaza A</v>
      </c>
      <c r="B2" s="44" t="s">
        <v>116</v>
      </c>
      <c r="C2" s="44" t="s">
        <v>52</v>
      </c>
      <c r="D2" s="44" t="n">
        <v>16</v>
      </c>
      <c r="E2" s="44" t="n">
        <v>0</v>
      </c>
    </row>
    <row r="3" customFormat="false" ht="15" hidden="false" customHeight="false" outlineLevel="0" collapsed="false">
      <c r="A3" s="43" t="str">
        <f aca="false">B3&amp;"|"&amp;C3</f>
        <v>P1|Mağaza B</v>
      </c>
      <c r="B3" s="44" t="s">
        <v>116</v>
      </c>
      <c r="C3" s="44" t="s">
        <v>54</v>
      </c>
      <c r="D3" s="44" t="n">
        <v>11</v>
      </c>
      <c r="E3" s="44" t="n">
        <v>0</v>
      </c>
    </row>
    <row r="4" customFormat="false" ht="15" hidden="false" customHeight="false" outlineLevel="0" collapsed="false">
      <c r="A4" s="43" t="str">
        <f aca="false">B4&amp;"|"&amp;C4</f>
        <v>P1|Mağaza C</v>
      </c>
      <c r="B4" s="44" t="s">
        <v>116</v>
      </c>
      <c r="C4" s="44" t="s">
        <v>56</v>
      </c>
      <c r="D4" s="44" t="n">
        <v>9</v>
      </c>
      <c r="E4" s="44" t="n">
        <v>0</v>
      </c>
    </row>
    <row r="5" customFormat="false" ht="15" hidden="false" customHeight="false" outlineLevel="0" collapsed="false">
      <c r="A5" s="43" t="str">
        <f aca="false">B5&amp;"|"&amp;C5</f>
        <v>P1|Mağaza D</v>
      </c>
      <c r="B5" s="44" t="s">
        <v>116</v>
      </c>
      <c r="C5" s="44" t="s">
        <v>58</v>
      </c>
      <c r="D5" s="44" t="n">
        <v>19</v>
      </c>
      <c r="E5" s="44" t="n">
        <v>2</v>
      </c>
    </row>
    <row r="6" customFormat="false" ht="15" hidden="false" customHeight="false" outlineLevel="0" collapsed="false">
      <c r="A6" s="43" t="str">
        <f aca="false">B6&amp;"|"&amp;C6</f>
        <v>P1|Mağaza E</v>
      </c>
      <c r="B6" s="44" t="s">
        <v>116</v>
      </c>
      <c r="C6" s="44" t="s">
        <v>60</v>
      </c>
      <c r="D6" s="44" t="n">
        <v>13</v>
      </c>
      <c r="E6" s="44" t="n">
        <v>0</v>
      </c>
    </row>
    <row r="7" customFormat="false" ht="15" hidden="false" customHeight="false" outlineLevel="0" collapsed="false">
      <c r="A7" s="43" t="str">
        <f aca="false">B7&amp;"|"&amp;C7</f>
        <v>P1|Mağaza F</v>
      </c>
      <c r="B7" s="44" t="s">
        <v>116</v>
      </c>
      <c r="C7" s="44" t="s">
        <v>62</v>
      </c>
      <c r="D7" s="44" t="n">
        <v>12</v>
      </c>
      <c r="E7" s="44" t="n">
        <v>1</v>
      </c>
    </row>
    <row r="8" customFormat="false" ht="15" hidden="false" customHeight="false" outlineLevel="0" collapsed="false">
      <c r="A8" s="43" t="str">
        <f aca="false">B8&amp;"|"&amp;C8</f>
        <v>P1|Mağaza G</v>
      </c>
      <c r="B8" s="44" t="s">
        <v>116</v>
      </c>
      <c r="C8" s="44" t="s">
        <v>63</v>
      </c>
      <c r="D8" s="44" t="n">
        <v>10</v>
      </c>
      <c r="E8" s="44" t="n">
        <v>1</v>
      </c>
    </row>
    <row r="9" customFormat="false" ht="15" hidden="false" customHeight="false" outlineLevel="0" collapsed="false">
      <c r="A9" s="43" t="str">
        <f aca="false">B9&amp;"|"&amp;C9</f>
        <v>P1|Mağaza H</v>
      </c>
      <c r="B9" s="44" t="s">
        <v>116</v>
      </c>
      <c r="C9" s="44" t="s">
        <v>64</v>
      </c>
      <c r="D9" s="44" t="n">
        <v>11</v>
      </c>
      <c r="E9" s="44" t="n">
        <v>1</v>
      </c>
    </row>
    <row r="10" customFormat="false" ht="15" hidden="false" customHeight="false" outlineLevel="0" collapsed="false">
      <c r="A10" s="43" t="str">
        <f aca="false">B10&amp;"|"&amp;C10</f>
        <v>P2|Mağaza A</v>
      </c>
      <c r="B10" s="44" t="s">
        <v>117</v>
      </c>
      <c r="C10" s="44" t="s">
        <v>52</v>
      </c>
      <c r="D10" s="44" t="n">
        <v>16</v>
      </c>
      <c r="E10" s="44" t="n">
        <v>1</v>
      </c>
    </row>
    <row r="11" customFormat="false" ht="15" hidden="false" customHeight="false" outlineLevel="0" collapsed="false">
      <c r="A11" s="43" t="str">
        <f aca="false">B11&amp;"|"&amp;C11</f>
        <v>P2|Mağaza B</v>
      </c>
      <c r="B11" s="44" t="s">
        <v>117</v>
      </c>
      <c r="C11" s="44" t="s">
        <v>54</v>
      </c>
      <c r="D11" s="44" t="n">
        <v>11</v>
      </c>
      <c r="E11" s="44" t="n">
        <v>0</v>
      </c>
    </row>
    <row r="12" customFormat="false" ht="15" hidden="false" customHeight="false" outlineLevel="0" collapsed="false">
      <c r="A12" s="43" t="str">
        <f aca="false">B12&amp;"|"&amp;C12</f>
        <v>P2|Mağaza C</v>
      </c>
      <c r="B12" s="44" t="s">
        <v>117</v>
      </c>
      <c r="C12" s="44" t="s">
        <v>56</v>
      </c>
      <c r="D12" s="44" t="n">
        <v>9</v>
      </c>
      <c r="E12" s="44" t="n">
        <v>0</v>
      </c>
    </row>
    <row r="13" customFormat="false" ht="15" hidden="false" customHeight="false" outlineLevel="0" collapsed="false">
      <c r="A13" s="43" t="str">
        <f aca="false">B13&amp;"|"&amp;C13</f>
        <v>P2|Mağaza D</v>
      </c>
      <c r="B13" s="44" t="s">
        <v>117</v>
      </c>
      <c r="C13" s="44" t="s">
        <v>58</v>
      </c>
      <c r="D13" s="44" t="n">
        <v>19</v>
      </c>
      <c r="E13" s="44" t="n">
        <v>3</v>
      </c>
    </row>
    <row r="14" customFormat="false" ht="15" hidden="false" customHeight="false" outlineLevel="0" collapsed="false">
      <c r="A14" s="43" t="str">
        <f aca="false">B14&amp;"|"&amp;C14</f>
        <v>P2|Mağaza E</v>
      </c>
      <c r="B14" s="44" t="s">
        <v>117</v>
      </c>
      <c r="C14" s="44" t="s">
        <v>60</v>
      </c>
      <c r="D14" s="44" t="n">
        <v>13</v>
      </c>
      <c r="E14" s="44" t="n">
        <v>0</v>
      </c>
    </row>
    <row r="15" customFormat="false" ht="15" hidden="false" customHeight="false" outlineLevel="0" collapsed="false">
      <c r="A15" s="43" t="str">
        <f aca="false">B15&amp;"|"&amp;C15</f>
        <v>P2|Mağaza F</v>
      </c>
      <c r="B15" s="44" t="s">
        <v>117</v>
      </c>
      <c r="C15" s="44" t="s">
        <v>62</v>
      </c>
      <c r="D15" s="44" t="n">
        <v>12</v>
      </c>
      <c r="E15" s="44" t="n">
        <v>2</v>
      </c>
    </row>
    <row r="16" customFormat="false" ht="15" hidden="false" customHeight="false" outlineLevel="0" collapsed="false">
      <c r="A16" s="43" t="str">
        <f aca="false">B16&amp;"|"&amp;C16</f>
        <v>P2|Mağaza G</v>
      </c>
      <c r="B16" s="44" t="s">
        <v>117</v>
      </c>
      <c r="C16" s="44" t="s">
        <v>63</v>
      </c>
      <c r="D16" s="44" t="n">
        <v>10</v>
      </c>
      <c r="E16" s="44" t="n">
        <v>3</v>
      </c>
    </row>
    <row r="17" customFormat="false" ht="15" hidden="false" customHeight="false" outlineLevel="0" collapsed="false">
      <c r="A17" s="43" t="str">
        <f aca="false">B17&amp;"|"&amp;C17</f>
        <v>P2|Mağaza H</v>
      </c>
      <c r="B17" s="44" t="s">
        <v>117</v>
      </c>
      <c r="C17" s="44" t="s">
        <v>64</v>
      </c>
      <c r="D17" s="44" t="n">
        <v>11</v>
      </c>
      <c r="E17" s="44" t="n">
        <v>3</v>
      </c>
    </row>
    <row r="18" customFormat="false" ht="15" hidden="false" customHeight="false" outlineLevel="0" collapsed="false">
      <c r="A18" s="43" t="str">
        <f aca="false">B18&amp;"|"&amp;C18</f>
        <v>P3|Mağaza A</v>
      </c>
      <c r="B18" s="44" t="s">
        <v>15</v>
      </c>
      <c r="C18" s="44" t="s">
        <v>52</v>
      </c>
      <c r="D18" s="44" t="n">
        <v>16</v>
      </c>
      <c r="E18" s="44" t="n">
        <v>2</v>
      </c>
    </row>
    <row r="19" customFormat="false" ht="15" hidden="false" customHeight="false" outlineLevel="0" collapsed="false">
      <c r="A19" s="43" t="str">
        <f aca="false">B19&amp;"|"&amp;C19</f>
        <v>P3|Mağaza B</v>
      </c>
      <c r="B19" s="44" t="s">
        <v>15</v>
      </c>
      <c r="C19" s="44" t="s">
        <v>54</v>
      </c>
      <c r="D19" s="44" t="n">
        <v>11</v>
      </c>
      <c r="E19" s="44" t="n">
        <v>0</v>
      </c>
    </row>
    <row r="20" customFormat="false" ht="15" hidden="false" customHeight="false" outlineLevel="0" collapsed="false">
      <c r="A20" s="43" t="str">
        <f aca="false">B20&amp;"|"&amp;C20</f>
        <v>P3|Mağaza C</v>
      </c>
      <c r="B20" s="44" t="s">
        <v>15</v>
      </c>
      <c r="C20" s="44" t="s">
        <v>56</v>
      </c>
      <c r="D20" s="44" t="n">
        <v>9</v>
      </c>
      <c r="E20" s="44" t="n">
        <v>1</v>
      </c>
    </row>
    <row r="21" customFormat="false" ht="15" hidden="false" customHeight="false" outlineLevel="0" collapsed="false">
      <c r="A21" s="43" t="str">
        <f aca="false">B21&amp;"|"&amp;C21</f>
        <v>P3|Mağaza D</v>
      </c>
      <c r="B21" s="44" t="s">
        <v>15</v>
      </c>
      <c r="C21" s="44" t="s">
        <v>58</v>
      </c>
      <c r="D21" s="44" t="n">
        <v>19</v>
      </c>
      <c r="E21" s="44" t="n">
        <v>4</v>
      </c>
    </row>
    <row r="22" customFormat="false" ht="15" hidden="false" customHeight="false" outlineLevel="0" collapsed="false">
      <c r="A22" s="43" t="str">
        <f aca="false">B22&amp;"|"&amp;C22</f>
        <v>P3|Mağaza E</v>
      </c>
      <c r="B22" s="44" t="s">
        <v>15</v>
      </c>
      <c r="C22" s="44" t="s">
        <v>60</v>
      </c>
      <c r="D22" s="44" t="n">
        <v>13</v>
      </c>
      <c r="E22" s="44" t="n">
        <v>0</v>
      </c>
    </row>
    <row r="23" customFormat="false" ht="15" hidden="false" customHeight="false" outlineLevel="0" collapsed="false">
      <c r="A23" s="43" t="str">
        <f aca="false">B23&amp;"|"&amp;C23</f>
        <v>P3|Mağaza F</v>
      </c>
      <c r="B23" s="44" t="s">
        <v>15</v>
      </c>
      <c r="C23" s="44" t="s">
        <v>62</v>
      </c>
      <c r="D23" s="44" t="n">
        <v>12</v>
      </c>
      <c r="E23" s="44" t="n">
        <v>2</v>
      </c>
    </row>
    <row r="24" customFormat="false" ht="15" hidden="false" customHeight="false" outlineLevel="0" collapsed="false">
      <c r="A24" s="43" t="str">
        <f aca="false">B24&amp;"|"&amp;C24</f>
        <v>P3|Mağaza G</v>
      </c>
      <c r="B24" s="44" t="s">
        <v>15</v>
      </c>
      <c r="C24" s="44" t="s">
        <v>63</v>
      </c>
      <c r="D24" s="44" t="n">
        <v>10</v>
      </c>
      <c r="E24" s="44" t="n">
        <v>5</v>
      </c>
    </row>
    <row r="25" customFormat="false" ht="15" hidden="false" customHeight="false" outlineLevel="0" collapsed="false">
      <c r="A25" s="43" t="str">
        <f aca="false">B25&amp;"|"&amp;C25</f>
        <v>P3|Mağaza H</v>
      </c>
      <c r="B25" s="44" t="s">
        <v>15</v>
      </c>
      <c r="C25" s="44" t="s">
        <v>64</v>
      </c>
      <c r="D25" s="44" t="n">
        <v>11</v>
      </c>
      <c r="E25" s="44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5"/>
  </cols>
  <sheetData>
    <row r="1" customFormat="false" ht="31.5" hidden="false" customHeight="true" outlineLevel="0" collapsed="false">
      <c r="A1" s="10" t="s">
        <v>112</v>
      </c>
      <c r="B1" s="10" t="s">
        <v>113</v>
      </c>
      <c r="C1" s="10" t="s">
        <v>26</v>
      </c>
      <c r="D1" s="10" t="s">
        <v>154</v>
      </c>
      <c r="E1" s="10" t="s">
        <v>155</v>
      </c>
    </row>
    <row r="2" customFormat="false" ht="15" hidden="false" customHeight="false" outlineLevel="0" collapsed="false">
      <c r="A2" s="43" t="str">
        <f aca="false">B2&amp;"|"&amp;C2</f>
        <v>P1|Mağaza A</v>
      </c>
      <c r="B2" s="44" t="s">
        <v>116</v>
      </c>
      <c r="C2" s="44" t="s">
        <v>52</v>
      </c>
      <c r="D2" s="44" t="n">
        <v>16</v>
      </c>
      <c r="E2" s="44" t="n">
        <v>6</v>
      </c>
    </row>
    <row r="3" customFormat="false" ht="15" hidden="false" customHeight="false" outlineLevel="0" collapsed="false">
      <c r="A3" s="43" t="str">
        <f aca="false">B3&amp;"|"&amp;C3</f>
        <v>P1|Mağaza B</v>
      </c>
      <c r="B3" s="44" t="s">
        <v>116</v>
      </c>
      <c r="C3" s="44" t="s">
        <v>54</v>
      </c>
      <c r="D3" s="44" t="n">
        <v>11</v>
      </c>
      <c r="E3" s="44" t="n">
        <v>3</v>
      </c>
    </row>
    <row r="4" customFormat="false" ht="15" hidden="false" customHeight="false" outlineLevel="0" collapsed="false">
      <c r="A4" s="43" t="str">
        <f aca="false">B4&amp;"|"&amp;C4</f>
        <v>P1|Mağaza C</v>
      </c>
      <c r="B4" s="44" t="s">
        <v>116</v>
      </c>
      <c r="C4" s="44" t="s">
        <v>56</v>
      </c>
      <c r="D4" s="44" t="n">
        <v>9</v>
      </c>
      <c r="E4" s="44" t="n">
        <v>2</v>
      </c>
    </row>
    <row r="5" customFormat="false" ht="15" hidden="false" customHeight="false" outlineLevel="0" collapsed="false">
      <c r="A5" s="43" t="str">
        <f aca="false">B5&amp;"|"&amp;C5</f>
        <v>P1|Mağaza D</v>
      </c>
      <c r="B5" s="44" t="s">
        <v>116</v>
      </c>
      <c r="C5" s="44" t="s">
        <v>58</v>
      </c>
      <c r="D5" s="44" t="n">
        <v>19</v>
      </c>
      <c r="E5" s="44" t="n">
        <v>6</v>
      </c>
    </row>
    <row r="6" customFormat="false" ht="15" hidden="false" customHeight="false" outlineLevel="0" collapsed="false">
      <c r="A6" s="43" t="str">
        <f aca="false">B6&amp;"|"&amp;C6</f>
        <v>P1|Mağaza E</v>
      </c>
      <c r="B6" s="44" t="s">
        <v>116</v>
      </c>
      <c r="C6" s="44" t="s">
        <v>60</v>
      </c>
      <c r="D6" s="44" t="n">
        <v>13</v>
      </c>
      <c r="E6" s="44" t="n">
        <v>8</v>
      </c>
    </row>
    <row r="7" customFormat="false" ht="15" hidden="false" customHeight="false" outlineLevel="0" collapsed="false">
      <c r="A7" s="43" t="str">
        <f aca="false">B7&amp;"|"&amp;C7</f>
        <v>P1|Mağaza F</v>
      </c>
      <c r="B7" s="44" t="s">
        <v>116</v>
      </c>
      <c r="C7" s="44" t="s">
        <v>62</v>
      </c>
      <c r="D7" s="44" t="n">
        <v>12</v>
      </c>
      <c r="E7" s="44" t="n">
        <v>3</v>
      </c>
    </row>
    <row r="8" customFormat="false" ht="15" hidden="false" customHeight="false" outlineLevel="0" collapsed="false">
      <c r="A8" s="43" t="str">
        <f aca="false">B8&amp;"|"&amp;C8</f>
        <v>P1|Mağaza G</v>
      </c>
      <c r="B8" s="44" t="s">
        <v>116</v>
      </c>
      <c r="C8" s="44" t="s">
        <v>63</v>
      </c>
      <c r="D8" s="44" t="n">
        <v>10</v>
      </c>
      <c r="E8" s="44" t="n">
        <v>4</v>
      </c>
    </row>
    <row r="9" customFormat="false" ht="15" hidden="false" customHeight="false" outlineLevel="0" collapsed="false">
      <c r="A9" s="43" t="str">
        <f aca="false">B9&amp;"|"&amp;C9</f>
        <v>P1|Mağaza H</v>
      </c>
      <c r="B9" s="44" t="s">
        <v>116</v>
      </c>
      <c r="C9" s="44" t="s">
        <v>64</v>
      </c>
      <c r="D9" s="44" t="n">
        <v>11</v>
      </c>
      <c r="E9" s="44" t="n">
        <v>4</v>
      </c>
    </row>
    <row r="10" customFormat="false" ht="15" hidden="false" customHeight="false" outlineLevel="0" collapsed="false">
      <c r="A10" s="43" t="str">
        <f aca="false">B10&amp;"|"&amp;C10</f>
        <v>P2|Mağaza A</v>
      </c>
      <c r="B10" s="44" t="s">
        <v>117</v>
      </c>
      <c r="C10" s="44" t="s">
        <v>52</v>
      </c>
      <c r="D10" s="44" t="n">
        <v>16</v>
      </c>
      <c r="E10" s="44" t="n">
        <v>3</v>
      </c>
    </row>
    <row r="11" customFormat="false" ht="15" hidden="false" customHeight="false" outlineLevel="0" collapsed="false">
      <c r="A11" s="43" t="str">
        <f aca="false">B11&amp;"|"&amp;C11</f>
        <v>P2|Mağaza B</v>
      </c>
      <c r="B11" s="44" t="s">
        <v>117</v>
      </c>
      <c r="C11" s="44" t="s">
        <v>54</v>
      </c>
      <c r="D11" s="44" t="n">
        <v>11</v>
      </c>
      <c r="E11" s="44" t="n">
        <v>1</v>
      </c>
    </row>
    <row r="12" customFormat="false" ht="15" hidden="false" customHeight="false" outlineLevel="0" collapsed="false">
      <c r="A12" s="43" t="str">
        <f aca="false">B12&amp;"|"&amp;C12</f>
        <v>P2|Mağaza C</v>
      </c>
      <c r="B12" s="44" t="s">
        <v>117</v>
      </c>
      <c r="C12" s="44" t="s">
        <v>56</v>
      </c>
      <c r="D12" s="44" t="n">
        <v>9</v>
      </c>
      <c r="E12" s="44" t="n">
        <v>2</v>
      </c>
    </row>
    <row r="13" customFormat="false" ht="15" hidden="false" customHeight="false" outlineLevel="0" collapsed="false">
      <c r="A13" s="43" t="str">
        <f aca="false">B13&amp;"|"&amp;C13</f>
        <v>P2|Mağaza D</v>
      </c>
      <c r="B13" s="44" t="s">
        <v>117</v>
      </c>
      <c r="C13" s="44" t="s">
        <v>58</v>
      </c>
      <c r="D13" s="44" t="n">
        <v>19</v>
      </c>
      <c r="E13" s="44" t="n">
        <v>8</v>
      </c>
    </row>
    <row r="14" customFormat="false" ht="15" hidden="false" customHeight="false" outlineLevel="0" collapsed="false">
      <c r="A14" s="43" t="str">
        <f aca="false">B14&amp;"|"&amp;C14</f>
        <v>P2|Mağaza E</v>
      </c>
      <c r="B14" s="44" t="s">
        <v>117</v>
      </c>
      <c r="C14" s="44" t="s">
        <v>60</v>
      </c>
      <c r="D14" s="44" t="n">
        <v>13</v>
      </c>
      <c r="E14" s="44" t="n">
        <v>2</v>
      </c>
    </row>
    <row r="15" customFormat="false" ht="15" hidden="false" customHeight="false" outlineLevel="0" collapsed="false">
      <c r="A15" s="43" t="str">
        <f aca="false">B15&amp;"|"&amp;C15</f>
        <v>P2|Mağaza F</v>
      </c>
      <c r="B15" s="44" t="s">
        <v>117</v>
      </c>
      <c r="C15" s="44" t="s">
        <v>62</v>
      </c>
      <c r="D15" s="44" t="n">
        <v>12</v>
      </c>
      <c r="E15" s="44" t="n">
        <v>8</v>
      </c>
    </row>
    <row r="16" customFormat="false" ht="15" hidden="false" customHeight="false" outlineLevel="0" collapsed="false">
      <c r="A16" s="43" t="str">
        <f aca="false">B16&amp;"|"&amp;C16</f>
        <v>P2|Mağaza G</v>
      </c>
      <c r="B16" s="44" t="s">
        <v>117</v>
      </c>
      <c r="C16" s="44" t="s">
        <v>63</v>
      </c>
      <c r="D16" s="44" t="n">
        <v>10</v>
      </c>
      <c r="E16" s="44" t="n">
        <v>6</v>
      </c>
    </row>
    <row r="17" customFormat="false" ht="15" hidden="false" customHeight="false" outlineLevel="0" collapsed="false">
      <c r="A17" s="43" t="str">
        <f aca="false">B17&amp;"|"&amp;C17</f>
        <v>P2|Mağaza H</v>
      </c>
      <c r="B17" s="44" t="s">
        <v>117</v>
      </c>
      <c r="C17" s="44" t="s">
        <v>64</v>
      </c>
      <c r="D17" s="44" t="n">
        <v>11</v>
      </c>
      <c r="E17" s="44" t="n">
        <v>3</v>
      </c>
    </row>
    <row r="18" customFormat="false" ht="15" hidden="false" customHeight="false" outlineLevel="0" collapsed="false">
      <c r="A18" s="43" t="str">
        <f aca="false">B18&amp;"|"&amp;C18</f>
        <v>P3|Mağaza A</v>
      </c>
      <c r="B18" s="44" t="s">
        <v>15</v>
      </c>
      <c r="C18" s="44" t="s">
        <v>52</v>
      </c>
      <c r="D18" s="44" t="n">
        <v>16</v>
      </c>
      <c r="E18" s="44" t="n">
        <v>4</v>
      </c>
    </row>
    <row r="19" customFormat="false" ht="15" hidden="false" customHeight="false" outlineLevel="0" collapsed="false">
      <c r="A19" s="43" t="str">
        <f aca="false">B19&amp;"|"&amp;C19</f>
        <v>P3|Mağaza B</v>
      </c>
      <c r="B19" s="44" t="s">
        <v>15</v>
      </c>
      <c r="C19" s="44" t="s">
        <v>54</v>
      </c>
      <c r="D19" s="44" t="n">
        <v>11</v>
      </c>
      <c r="E19" s="44" t="n">
        <v>7</v>
      </c>
    </row>
    <row r="20" customFormat="false" ht="15" hidden="false" customHeight="false" outlineLevel="0" collapsed="false">
      <c r="A20" s="43" t="str">
        <f aca="false">B20&amp;"|"&amp;C20</f>
        <v>P3|Mağaza C</v>
      </c>
      <c r="B20" s="44" t="s">
        <v>15</v>
      </c>
      <c r="C20" s="44" t="s">
        <v>56</v>
      </c>
      <c r="D20" s="44" t="n">
        <v>9</v>
      </c>
      <c r="E20" s="44" t="n">
        <v>7</v>
      </c>
    </row>
    <row r="21" customFormat="false" ht="15" hidden="false" customHeight="false" outlineLevel="0" collapsed="false">
      <c r="A21" s="43" t="str">
        <f aca="false">B21&amp;"|"&amp;C21</f>
        <v>P3|Mağaza D</v>
      </c>
      <c r="B21" s="44" t="s">
        <v>15</v>
      </c>
      <c r="C21" s="44" t="s">
        <v>58</v>
      </c>
      <c r="D21" s="44" t="n">
        <v>19</v>
      </c>
      <c r="E21" s="44" t="n">
        <v>11</v>
      </c>
    </row>
    <row r="22" customFormat="false" ht="15" hidden="false" customHeight="false" outlineLevel="0" collapsed="false">
      <c r="A22" s="43" t="str">
        <f aca="false">B22&amp;"|"&amp;C22</f>
        <v>P3|Mağaza E</v>
      </c>
      <c r="B22" s="44" t="s">
        <v>15</v>
      </c>
      <c r="C22" s="44" t="s">
        <v>60</v>
      </c>
      <c r="D22" s="44" t="n">
        <v>13</v>
      </c>
      <c r="E22" s="44" t="n">
        <v>4</v>
      </c>
    </row>
    <row r="23" customFormat="false" ht="15" hidden="false" customHeight="false" outlineLevel="0" collapsed="false">
      <c r="A23" s="43" t="str">
        <f aca="false">B23&amp;"|"&amp;C23</f>
        <v>P3|Mağaza F</v>
      </c>
      <c r="B23" s="44" t="s">
        <v>15</v>
      </c>
      <c r="C23" s="44" t="s">
        <v>62</v>
      </c>
      <c r="D23" s="44" t="n">
        <v>12</v>
      </c>
      <c r="E23" s="44" t="n">
        <v>5</v>
      </c>
    </row>
    <row r="24" customFormat="false" ht="15" hidden="false" customHeight="false" outlineLevel="0" collapsed="false">
      <c r="A24" s="43" t="str">
        <f aca="false">B24&amp;"|"&amp;C24</f>
        <v>P3|Mağaza G</v>
      </c>
      <c r="B24" s="44" t="s">
        <v>15</v>
      </c>
      <c r="C24" s="44" t="s">
        <v>63</v>
      </c>
      <c r="D24" s="44" t="n">
        <v>10</v>
      </c>
      <c r="E24" s="44" t="n">
        <v>6</v>
      </c>
    </row>
    <row r="25" customFormat="false" ht="15" hidden="false" customHeight="false" outlineLevel="0" collapsed="false">
      <c r="A25" s="43" t="str">
        <f aca="false">B25&amp;"|"&amp;C25</f>
        <v>P3|Mağaza H</v>
      </c>
      <c r="B25" s="44" t="s">
        <v>15</v>
      </c>
      <c r="C25" s="44" t="s">
        <v>64</v>
      </c>
      <c r="D25" s="44" t="n">
        <v>11</v>
      </c>
      <c r="E25" s="44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5"/>
  </cols>
  <sheetData>
    <row r="1" customFormat="false" ht="31.5" hidden="false" customHeight="true" outlineLevel="0" collapsed="false">
      <c r="A1" s="10" t="s">
        <v>112</v>
      </c>
      <c r="B1" s="10" t="s">
        <v>113</v>
      </c>
      <c r="C1" s="10" t="s">
        <v>26</v>
      </c>
      <c r="D1" s="10" t="s">
        <v>132</v>
      </c>
      <c r="E1" s="10" t="s">
        <v>156</v>
      </c>
    </row>
    <row r="2" customFormat="false" ht="15" hidden="false" customHeight="false" outlineLevel="0" collapsed="false">
      <c r="A2" s="43" t="str">
        <f aca="false">B2&amp;"|"&amp;C2</f>
        <v>P1|Mağaza A</v>
      </c>
      <c r="B2" s="44" t="s">
        <v>116</v>
      </c>
      <c r="C2" s="44" t="s">
        <v>52</v>
      </c>
      <c r="D2" s="45" t="n">
        <v>21359</v>
      </c>
      <c r="E2" s="44" t="n">
        <v>8</v>
      </c>
    </row>
    <row r="3" customFormat="false" ht="15" hidden="false" customHeight="false" outlineLevel="0" collapsed="false">
      <c r="A3" s="43" t="str">
        <f aca="false">B3&amp;"|"&amp;C3</f>
        <v>P1|Mağaza B</v>
      </c>
      <c r="B3" s="44" t="s">
        <v>116</v>
      </c>
      <c r="C3" s="44" t="s">
        <v>54</v>
      </c>
      <c r="D3" s="45" t="n">
        <v>15531</v>
      </c>
      <c r="E3" s="44" t="n">
        <v>9</v>
      </c>
    </row>
    <row r="4" customFormat="false" ht="15" hidden="false" customHeight="false" outlineLevel="0" collapsed="false">
      <c r="A4" s="43" t="str">
        <f aca="false">B4&amp;"|"&amp;C4</f>
        <v>P1|Mağaza C</v>
      </c>
      <c r="B4" s="44" t="s">
        <v>116</v>
      </c>
      <c r="C4" s="44" t="s">
        <v>56</v>
      </c>
      <c r="D4" s="45" t="n">
        <v>11191</v>
      </c>
      <c r="E4" s="44" t="n">
        <v>1</v>
      </c>
    </row>
    <row r="5" customFormat="false" ht="15" hidden="false" customHeight="false" outlineLevel="0" collapsed="false">
      <c r="A5" s="43" t="str">
        <f aca="false">B5&amp;"|"&amp;C5</f>
        <v>P1|Mağaza D</v>
      </c>
      <c r="B5" s="44" t="s">
        <v>116</v>
      </c>
      <c r="C5" s="44" t="s">
        <v>58</v>
      </c>
      <c r="D5" s="45" t="n">
        <v>26412</v>
      </c>
      <c r="E5" s="44" t="n">
        <v>12</v>
      </c>
    </row>
    <row r="6" customFormat="false" ht="15" hidden="false" customHeight="false" outlineLevel="0" collapsed="false">
      <c r="A6" s="43" t="str">
        <f aca="false">B6&amp;"|"&amp;C6</f>
        <v>P1|Mağaza E</v>
      </c>
      <c r="B6" s="44" t="s">
        <v>116</v>
      </c>
      <c r="C6" s="44" t="s">
        <v>60</v>
      </c>
      <c r="D6" s="45" t="n">
        <v>17639</v>
      </c>
      <c r="E6" s="44" t="n">
        <v>3</v>
      </c>
    </row>
    <row r="7" customFormat="false" ht="15" hidden="false" customHeight="false" outlineLevel="0" collapsed="false">
      <c r="A7" s="43" t="str">
        <f aca="false">B7&amp;"|"&amp;C7</f>
        <v>P1|Mağaza F</v>
      </c>
      <c r="B7" s="44" t="s">
        <v>116</v>
      </c>
      <c r="C7" s="44" t="s">
        <v>62</v>
      </c>
      <c r="D7" s="45" t="n">
        <v>16306</v>
      </c>
      <c r="E7" s="44" t="n">
        <v>6</v>
      </c>
    </row>
    <row r="8" customFormat="false" ht="15" hidden="false" customHeight="false" outlineLevel="0" collapsed="false">
      <c r="A8" s="43" t="str">
        <f aca="false">B8&amp;"|"&amp;C8</f>
        <v>P1|Mağaza G</v>
      </c>
      <c r="B8" s="44" t="s">
        <v>116</v>
      </c>
      <c r="C8" s="44" t="s">
        <v>63</v>
      </c>
      <c r="D8" s="45" t="n">
        <v>12431</v>
      </c>
      <c r="E8" s="44" t="n">
        <v>11</v>
      </c>
    </row>
    <row r="9" customFormat="false" ht="15" hidden="false" customHeight="false" outlineLevel="0" collapsed="false">
      <c r="A9" s="43" t="str">
        <f aca="false">B9&amp;"|"&amp;C9</f>
        <v>P1|Mağaza H</v>
      </c>
      <c r="B9" s="44" t="s">
        <v>116</v>
      </c>
      <c r="C9" s="44" t="s">
        <v>64</v>
      </c>
      <c r="D9" s="45" t="n">
        <v>14477</v>
      </c>
      <c r="E9" s="44" t="n">
        <v>0</v>
      </c>
    </row>
    <row r="10" customFormat="false" ht="15" hidden="false" customHeight="false" outlineLevel="0" collapsed="false">
      <c r="A10" s="43" t="str">
        <f aca="false">B10&amp;"|"&amp;C10</f>
        <v>P2|Mağaza A</v>
      </c>
      <c r="B10" s="44" t="s">
        <v>117</v>
      </c>
      <c r="C10" s="44" t="s">
        <v>52</v>
      </c>
      <c r="D10" s="45" t="n">
        <v>19292</v>
      </c>
      <c r="E10" s="44" t="n">
        <v>1</v>
      </c>
    </row>
    <row r="11" customFormat="false" ht="15" hidden="false" customHeight="false" outlineLevel="0" collapsed="false">
      <c r="A11" s="43" t="str">
        <f aca="false">B11&amp;"|"&amp;C11</f>
        <v>P2|Mağaza B</v>
      </c>
      <c r="B11" s="44" t="s">
        <v>117</v>
      </c>
      <c r="C11" s="44" t="s">
        <v>54</v>
      </c>
      <c r="D11" s="45" t="n">
        <v>13888</v>
      </c>
      <c r="E11" s="44" t="n">
        <v>8</v>
      </c>
    </row>
    <row r="12" customFormat="false" ht="15" hidden="false" customHeight="false" outlineLevel="0" collapsed="false">
      <c r="A12" s="43" t="str">
        <f aca="false">B12&amp;"|"&amp;C12</f>
        <v>P2|Mağaza C</v>
      </c>
      <c r="B12" s="44" t="s">
        <v>117</v>
      </c>
      <c r="C12" s="44" t="s">
        <v>56</v>
      </c>
      <c r="D12" s="45" t="n">
        <v>11760</v>
      </c>
      <c r="E12" s="44" t="n">
        <v>9</v>
      </c>
    </row>
    <row r="13" customFormat="false" ht="15" hidden="false" customHeight="false" outlineLevel="0" collapsed="false">
      <c r="A13" s="43" t="str">
        <f aca="false">B13&amp;"|"&amp;C13</f>
        <v>P2|Mağaza D</v>
      </c>
      <c r="B13" s="44" t="s">
        <v>117</v>
      </c>
      <c r="C13" s="44" t="s">
        <v>58</v>
      </c>
      <c r="D13" s="45" t="n">
        <v>25004</v>
      </c>
      <c r="E13" s="44" t="n">
        <v>9</v>
      </c>
    </row>
    <row r="14" customFormat="false" ht="15" hidden="false" customHeight="false" outlineLevel="0" collapsed="false">
      <c r="A14" s="43" t="str">
        <f aca="false">B14&amp;"|"&amp;C14</f>
        <v>P2|Mağaza E</v>
      </c>
      <c r="B14" s="44" t="s">
        <v>117</v>
      </c>
      <c r="C14" s="44" t="s">
        <v>60</v>
      </c>
      <c r="D14" s="45" t="n">
        <v>15260</v>
      </c>
      <c r="E14" s="44" t="n">
        <v>9</v>
      </c>
    </row>
    <row r="15" customFormat="false" ht="15" hidden="false" customHeight="false" outlineLevel="0" collapsed="false">
      <c r="A15" s="43" t="str">
        <f aca="false">B15&amp;"|"&amp;C15</f>
        <v>P2|Mağaza F</v>
      </c>
      <c r="B15" s="44" t="s">
        <v>117</v>
      </c>
      <c r="C15" s="44" t="s">
        <v>62</v>
      </c>
      <c r="D15" s="45" t="n">
        <v>15652</v>
      </c>
      <c r="E15" s="44" t="n">
        <v>2</v>
      </c>
    </row>
    <row r="16" customFormat="false" ht="15" hidden="false" customHeight="false" outlineLevel="0" collapsed="false">
      <c r="A16" s="43" t="str">
        <f aca="false">B16&amp;"|"&amp;C16</f>
        <v>P2|Mağaza G</v>
      </c>
      <c r="B16" s="44" t="s">
        <v>117</v>
      </c>
      <c r="C16" s="44" t="s">
        <v>63</v>
      </c>
      <c r="D16" s="45" t="n">
        <v>11396</v>
      </c>
      <c r="E16" s="44" t="n">
        <v>6</v>
      </c>
    </row>
    <row r="17" customFormat="false" ht="15" hidden="false" customHeight="false" outlineLevel="0" collapsed="false">
      <c r="A17" s="43" t="str">
        <f aca="false">B17&amp;"|"&amp;C17</f>
        <v>P2|Mağaza H</v>
      </c>
      <c r="B17" s="44" t="s">
        <v>117</v>
      </c>
      <c r="C17" s="44" t="s">
        <v>64</v>
      </c>
      <c r="D17" s="45" t="n">
        <v>12880</v>
      </c>
      <c r="E17" s="44" t="n">
        <v>0</v>
      </c>
    </row>
    <row r="18" customFormat="false" ht="15" hidden="false" customHeight="false" outlineLevel="0" collapsed="false">
      <c r="A18" s="43" t="str">
        <f aca="false">B18&amp;"|"&amp;C18</f>
        <v>P3|Mağaza A</v>
      </c>
      <c r="B18" s="44" t="s">
        <v>15</v>
      </c>
      <c r="C18" s="44" t="s">
        <v>52</v>
      </c>
      <c r="D18" s="45" t="n">
        <v>19282</v>
      </c>
      <c r="E18" s="44" t="n">
        <v>5</v>
      </c>
    </row>
    <row r="19" customFormat="false" ht="15" hidden="false" customHeight="false" outlineLevel="0" collapsed="false">
      <c r="A19" s="43" t="str">
        <f aca="false">B19&amp;"|"&amp;C19</f>
        <v>P3|Mağaza B</v>
      </c>
      <c r="B19" s="44" t="s">
        <v>15</v>
      </c>
      <c r="C19" s="44" t="s">
        <v>54</v>
      </c>
      <c r="D19" s="45" t="n">
        <v>14074</v>
      </c>
      <c r="E19" s="44" t="n">
        <v>10</v>
      </c>
    </row>
    <row r="20" customFormat="false" ht="15" hidden="false" customHeight="false" outlineLevel="0" collapsed="false">
      <c r="A20" s="43" t="str">
        <f aca="false">B20&amp;"|"&amp;C20</f>
        <v>P3|Mağaza C</v>
      </c>
      <c r="B20" s="44" t="s">
        <v>15</v>
      </c>
      <c r="C20" s="44" t="s">
        <v>56</v>
      </c>
      <c r="D20" s="45" t="n">
        <v>11749</v>
      </c>
      <c r="E20" s="44" t="n">
        <v>0</v>
      </c>
    </row>
    <row r="21" customFormat="false" ht="15" hidden="false" customHeight="false" outlineLevel="0" collapsed="false">
      <c r="A21" s="43" t="str">
        <f aca="false">B21&amp;"|"&amp;C21</f>
        <v>P3|Mağaza D</v>
      </c>
      <c r="B21" s="44" t="s">
        <v>15</v>
      </c>
      <c r="C21" s="44" t="s">
        <v>58</v>
      </c>
      <c r="D21" s="45" t="n">
        <v>23963</v>
      </c>
      <c r="E21" s="44" t="n">
        <v>9</v>
      </c>
    </row>
    <row r="22" customFormat="false" ht="15" hidden="false" customHeight="false" outlineLevel="0" collapsed="false">
      <c r="A22" s="43" t="str">
        <f aca="false">B22&amp;"|"&amp;C22</f>
        <v>P3|Mağaza E</v>
      </c>
      <c r="B22" s="44" t="s">
        <v>15</v>
      </c>
      <c r="C22" s="44" t="s">
        <v>60</v>
      </c>
      <c r="D22" s="45" t="n">
        <v>18445</v>
      </c>
      <c r="E22" s="44" t="n">
        <v>4</v>
      </c>
    </row>
    <row r="23" customFormat="false" ht="15" hidden="false" customHeight="false" outlineLevel="0" collapsed="false">
      <c r="A23" s="43" t="str">
        <f aca="false">B23&amp;"|"&amp;C23</f>
        <v>P3|Mağaza F</v>
      </c>
      <c r="B23" s="44" t="s">
        <v>15</v>
      </c>
      <c r="C23" s="44" t="s">
        <v>62</v>
      </c>
      <c r="D23" s="45" t="n">
        <v>16864</v>
      </c>
      <c r="E23" s="44" t="n">
        <v>8</v>
      </c>
    </row>
    <row r="24" customFormat="false" ht="15" hidden="false" customHeight="false" outlineLevel="0" collapsed="false">
      <c r="A24" s="43" t="str">
        <f aca="false">B24&amp;"|"&amp;C24</f>
        <v>P3|Mağaza G</v>
      </c>
      <c r="B24" s="44" t="s">
        <v>15</v>
      </c>
      <c r="C24" s="44" t="s">
        <v>63</v>
      </c>
      <c r="D24" s="45" t="n">
        <v>11873</v>
      </c>
      <c r="E24" s="44" t="n">
        <v>6</v>
      </c>
    </row>
    <row r="25" customFormat="false" ht="15" hidden="false" customHeight="false" outlineLevel="0" collapsed="false">
      <c r="A25" s="43" t="str">
        <f aca="false">B25&amp;"|"&amp;C25</f>
        <v>P3|Mağaza H</v>
      </c>
      <c r="B25" s="44" t="s">
        <v>15</v>
      </c>
      <c r="C25" s="44" t="s">
        <v>64</v>
      </c>
      <c r="D25" s="45" t="n">
        <v>16430</v>
      </c>
      <c r="E25" s="44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6" min="4" style="0" width="15"/>
  </cols>
  <sheetData>
    <row r="1" customFormat="false" ht="31.5" hidden="false" customHeight="true" outlineLevel="0" collapsed="false">
      <c r="A1" s="10" t="s">
        <v>112</v>
      </c>
      <c r="B1" s="10" t="s">
        <v>113</v>
      </c>
      <c r="C1" s="10" t="s">
        <v>26</v>
      </c>
      <c r="D1" s="10" t="s">
        <v>157</v>
      </c>
      <c r="E1" s="10" t="s">
        <v>158</v>
      </c>
      <c r="F1" s="10" t="s">
        <v>159</v>
      </c>
    </row>
    <row r="2" customFormat="false" ht="15" hidden="false" customHeight="false" outlineLevel="0" collapsed="false">
      <c r="A2" s="43" t="str">
        <f aca="false">B2&amp;"|"&amp;C2</f>
        <v>P1|Mağaza A</v>
      </c>
      <c r="B2" s="44" t="s">
        <v>116</v>
      </c>
      <c r="C2" s="44" t="s">
        <v>52</v>
      </c>
      <c r="D2" s="44" t="n">
        <v>97</v>
      </c>
      <c r="E2" s="44" t="n">
        <v>95</v>
      </c>
      <c r="F2" s="44" t="n">
        <v>92</v>
      </c>
    </row>
    <row r="3" customFormat="false" ht="15" hidden="false" customHeight="false" outlineLevel="0" collapsed="false">
      <c r="A3" s="43" t="str">
        <f aca="false">B3&amp;"|"&amp;C3</f>
        <v>P1|Mağaza B</v>
      </c>
      <c r="B3" s="44" t="s">
        <v>116</v>
      </c>
      <c r="C3" s="44" t="s">
        <v>54</v>
      </c>
      <c r="D3" s="44" t="n">
        <v>96</v>
      </c>
      <c r="E3" s="44" t="n">
        <v>96</v>
      </c>
      <c r="F3" s="44" t="n">
        <v>97</v>
      </c>
    </row>
    <row r="4" customFormat="false" ht="15" hidden="false" customHeight="false" outlineLevel="0" collapsed="false">
      <c r="A4" s="43" t="str">
        <f aca="false">B4&amp;"|"&amp;C4</f>
        <v>P1|Mağaza C</v>
      </c>
      <c r="B4" s="44" t="s">
        <v>116</v>
      </c>
      <c r="C4" s="44" t="s">
        <v>56</v>
      </c>
      <c r="D4" s="44" t="n">
        <v>83</v>
      </c>
      <c r="E4" s="44" t="n">
        <v>95</v>
      </c>
      <c r="F4" s="44" t="n">
        <v>84</v>
      </c>
    </row>
    <row r="5" customFormat="false" ht="15" hidden="false" customHeight="false" outlineLevel="0" collapsed="false">
      <c r="A5" s="43" t="str">
        <f aca="false">B5&amp;"|"&amp;C5</f>
        <v>P1|Mağaza D</v>
      </c>
      <c r="B5" s="44" t="s">
        <v>116</v>
      </c>
      <c r="C5" s="44" t="s">
        <v>58</v>
      </c>
      <c r="D5" s="44" t="n">
        <v>95</v>
      </c>
      <c r="E5" s="44" t="n">
        <v>89</v>
      </c>
      <c r="F5" s="44" t="n">
        <v>98</v>
      </c>
    </row>
    <row r="6" customFormat="false" ht="15" hidden="false" customHeight="false" outlineLevel="0" collapsed="false">
      <c r="A6" s="43" t="str">
        <f aca="false">B6&amp;"|"&amp;C6</f>
        <v>P1|Mağaza E</v>
      </c>
      <c r="B6" s="44" t="s">
        <v>116</v>
      </c>
      <c r="C6" s="44" t="s">
        <v>60</v>
      </c>
      <c r="D6" s="44" t="n">
        <v>82</v>
      </c>
      <c r="E6" s="44" t="n">
        <v>94</v>
      </c>
      <c r="F6" s="44" t="n">
        <v>86</v>
      </c>
    </row>
    <row r="7" customFormat="false" ht="15" hidden="false" customHeight="false" outlineLevel="0" collapsed="false">
      <c r="A7" s="43" t="str">
        <f aca="false">B7&amp;"|"&amp;C7</f>
        <v>P1|Mağaza F</v>
      </c>
      <c r="B7" s="44" t="s">
        <v>116</v>
      </c>
      <c r="C7" s="44" t="s">
        <v>62</v>
      </c>
      <c r="D7" s="44" t="n">
        <v>91</v>
      </c>
      <c r="E7" s="44" t="n">
        <v>87</v>
      </c>
      <c r="F7" s="44" t="n">
        <v>82</v>
      </c>
    </row>
    <row r="8" customFormat="false" ht="15" hidden="false" customHeight="false" outlineLevel="0" collapsed="false">
      <c r="A8" s="43" t="str">
        <f aca="false">B8&amp;"|"&amp;C8</f>
        <v>P1|Mağaza G</v>
      </c>
      <c r="B8" s="44" t="s">
        <v>116</v>
      </c>
      <c r="C8" s="44" t="s">
        <v>63</v>
      </c>
      <c r="D8" s="44" t="n">
        <v>82</v>
      </c>
      <c r="E8" s="44" t="n">
        <v>80</v>
      </c>
      <c r="F8" s="44" t="n">
        <v>91</v>
      </c>
    </row>
    <row r="9" customFormat="false" ht="15" hidden="false" customHeight="false" outlineLevel="0" collapsed="false">
      <c r="A9" s="43" t="str">
        <f aca="false">B9&amp;"|"&amp;C9</f>
        <v>P1|Mağaza H</v>
      </c>
      <c r="B9" s="44" t="s">
        <v>116</v>
      </c>
      <c r="C9" s="44" t="s">
        <v>64</v>
      </c>
      <c r="D9" s="44" t="n">
        <v>95</v>
      </c>
      <c r="E9" s="44" t="n">
        <v>87</v>
      </c>
      <c r="F9" s="44" t="n">
        <v>80</v>
      </c>
    </row>
    <row r="10" customFormat="false" ht="15" hidden="false" customHeight="false" outlineLevel="0" collapsed="false">
      <c r="A10" s="43" t="str">
        <f aca="false">B10&amp;"|"&amp;C10</f>
        <v>P2|Mağaza A</v>
      </c>
      <c r="B10" s="44" t="s">
        <v>117</v>
      </c>
      <c r="C10" s="44" t="s">
        <v>52</v>
      </c>
      <c r="D10" s="44" t="n">
        <v>90</v>
      </c>
      <c r="E10" s="44" t="n">
        <v>85</v>
      </c>
      <c r="F10" s="44" t="n">
        <v>82</v>
      </c>
    </row>
    <row r="11" customFormat="false" ht="15" hidden="false" customHeight="false" outlineLevel="0" collapsed="false">
      <c r="A11" s="43" t="str">
        <f aca="false">B11&amp;"|"&amp;C11</f>
        <v>P2|Mağaza B</v>
      </c>
      <c r="B11" s="44" t="s">
        <v>117</v>
      </c>
      <c r="C11" s="44" t="s">
        <v>54</v>
      </c>
      <c r="D11" s="44" t="n">
        <v>83</v>
      </c>
      <c r="E11" s="44" t="n">
        <v>80</v>
      </c>
      <c r="F11" s="44" t="n">
        <v>89</v>
      </c>
    </row>
    <row r="12" customFormat="false" ht="15" hidden="false" customHeight="false" outlineLevel="0" collapsed="false">
      <c r="A12" s="43" t="str">
        <f aca="false">B12&amp;"|"&amp;C12</f>
        <v>P2|Mağaza C</v>
      </c>
      <c r="B12" s="44" t="s">
        <v>117</v>
      </c>
      <c r="C12" s="44" t="s">
        <v>56</v>
      </c>
      <c r="D12" s="44" t="n">
        <v>93</v>
      </c>
      <c r="E12" s="44" t="n">
        <v>97</v>
      </c>
      <c r="F12" s="44" t="n">
        <v>99</v>
      </c>
    </row>
    <row r="13" customFormat="false" ht="15" hidden="false" customHeight="false" outlineLevel="0" collapsed="false">
      <c r="A13" s="43" t="str">
        <f aca="false">B13&amp;"|"&amp;C13</f>
        <v>P2|Mağaza D</v>
      </c>
      <c r="B13" s="44" t="s">
        <v>117</v>
      </c>
      <c r="C13" s="44" t="s">
        <v>58</v>
      </c>
      <c r="D13" s="44" t="n">
        <v>99</v>
      </c>
      <c r="E13" s="44" t="n">
        <v>84</v>
      </c>
      <c r="F13" s="44" t="n">
        <v>95</v>
      </c>
    </row>
    <row r="14" customFormat="false" ht="15" hidden="false" customHeight="false" outlineLevel="0" collapsed="false">
      <c r="A14" s="43" t="str">
        <f aca="false">B14&amp;"|"&amp;C14</f>
        <v>P2|Mağaza E</v>
      </c>
      <c r="B14" s="44" t="s">
        <v>117</v>
      </c>
      <c r="C14" s="44" t="s">
        <v>60</v>
      </c>
      <c r="D14" s="44" t="n">
        <v>98</v>
      </c>
      <c r="E14" s="44" t="n">
        <v>80</v>
      </c>
      <c r="F14" s="44" t="n">
        <v>83</v>
      </c>
    </row>
    <row r="15" customFormat="false" ht="15" hidden="false" customHeight="false" outlineLevel="0" collapsed="false">
      <c r="A15" s="43" t="str">
        <f aca="false">B15&amp;"|"&amp;C15</f>
        <v>P2|Mağaza F</v>
      </c>
      <c r="B15" s="44" t="s">
        <v>117</v>
      </c>
      <c r="C15" s="44" t="s">
        <v>62</v>
      </c>
      <c r="D15" s="44" t="n">
        <v>89</v>
      </c>
      <c r="E15" s="44" t="n">
        <v>88</v>
      </c>
      <c r="F15" s="44" t="n">
        <v>97</v>
      </c>
    </row>
    <row r="16" customFormat="false" ht="15" hidden="false" customHeight="false" outlineLevel="0" collapsed="false">
      <c r="A16" s="43" t="str">
        <f aca="false">B16&amp;"|"&amp;C16</f>
        <v>P2|Mağaza G</v>
      </c>
      <c r="B16" s="44" t="s">
        <v>117</v>
      </c>
      <c r="C16" s="44" t="s">
        <v>63</v>
      </c>
      <c r="D16" s="44" t="n">
        <v>95</v>
      </c>
      <c r="E16" s="44" t="n">
        <v>90</v>
      </c>
      <c r="F16" s="44" t="n">
        <v>80</v>
      </c>
    </row>
    <row r="17" customFormat="false" ht="15" hidden="false" customHeight="false" outlineLevel="0" collapsed="false">
      <c r="A17" s="43" t="str">
        <f aca="false">B17&amp;"|"&amp;C17</f>
        <v>P2|Mağaza H</v>
      </c>
      <c r="B17" s="44" t="s">
        <v>117</v>
      </c>
      <c r="C17" s="44" t="s">
        <v>64</v>
      </c>
      <c r="D17" s="44" t="n">
        <v>94</v>
      </c>
      <c r="E17" s="44" t="n">
        <v>90</v>
      </c>
      <c r="F17" s="44" t="n">
        <v>85</v>
      </c>
    </row>
    <row r="18" customFormat="false" ht="15" hidden="false" customHeight="false" outlineLevel="0" collapsed="false">
      <c r="A18" s="43" t="str">
        <f aca="false">B18&amp;"|"&amp;C18</f>
        <v>P3|Mağaza A</v>
      </c>
      <c r="B18" s="44" t="s">
        <v>15</v>
      </c>
      <c r="C18" s="44" t="s">
        <v>52</v>
      </c>
      <c r="D18" s="44" t="n">
        <v>98</v>
      </c>
      <c r="E18" s="44" t="n">
        <v>84</v>
      </c>
      <c r="F18" s="44" t="n">
        <v>99</v>
      </c>
    </row>
    <row r="19" customFormat="false" ht="15" hidden="false" customHeight="false" outlineLevel="0" collapsed="false">
      <c r="A19" s="43" t="str">
        <f aca="false">B19&amp;"|"&amp;C19</f>
        <v>P3|Mağaza B</v>
      </c>
      <c r="B19" s="44" t="s">
        <v>15</v>
      </c>
      <c r="C19" s="44" t="s">
        <v>54</v>
      </c>
      <c r="D19" s="44" t="n">
        <v>92</v>
      </c>
      <c r="E19" s="44" t="n">
        <v>90</v>
      </c>
      <c r="F19" s="44" t="n">
        <v>90</v>
      </c>
    </row>
    <row r="20" customFormat="false" ht="15" hidden="false" customHeight="false" outlineLevel="0" collapsed="false">
      <c r="A20" s="43" t="str">
        <f aca="false">B20&amp;"|"&amp;C20</f>
        <v>P3|Mağaza C</v>
      </c>
      <c r="B20" s="44" t="s">
        <v>15</v>
      </c>
      <c r="C20" s="44" t="s">
        <v>56</v>
      </c>
      <c r="D20" s="44" t="n">
        <v>85</v>
      </c>
      <c r="E20" s="44" t="n">
        <v>95</v>
      </c>
      <c r="F20" s="44" t="n">
        <v>91</v>
      </c>
    </row>
    <row r="21" customFormat="false" ht="15" hidden="false" customHeight="false" outlineLevel="0" collapsed="false">
      <c r="A21" s="43" t="str">
        <f aca="false">B21&amp;"|"&amp;C21</f>
        <v>P3|Mağaza D</v>
      </c>
      <c r="B21" s="44" t="s">
        <v>15</v>
      </c>
      <c r="C21" s="44" t="s">
        <v>58</v>
      </c>
      <c r="D21" s="44" t="n">
        <v>89</v>
      </c>
      <c r="E21" s="44" t="n">
        <v>81</v>
      </c>
      <c r="F21" s="44" t="n">
        <v>86</v>
      </c>
    </row>
    <row r="22" customFormat="false" ht="15" hidden="false" customHeight="false" outlineLevel="0" collapsed="false">
      <c r="A22" s="43" t="str">
        <f aca="false">B22&amp;"|"&amp;C22</f>
        <v>P3|Mağaza E</v>
      </c>
      <c r="B22" s="44" t="s">
        <v>15</v>
      </c>
      <c r="C22" s="44" t="s">
        <v>60</v>
      </c>
      <c r="D22" s="44" t="n">
        <v>91</v>
      </c>
      <c r="E22" s="44" t="n">
        <v>87</v>
      </c>
      <c r="F22" s="44" t="n">
        <v>88</v>
      </c>
    </row>
    <row r="23" customFormat="false" ht="15" hidden="false" customHeight="false" outlineLevel="0" collapsed="false">
      <c r="A23" s="43" t="str">
        <f aca="false">B23&amp;"|"&amp;C23</f>
        <v>P3|Mağaza F</v>
      </c>
      <c r="B23" s="44" t="s">
        <v>15</v>
      </c>
      <c r="C23" s="44" t="s">
        <v>62</v>
      </c>
      <c r="D23" s="44" t="n">
        <v>84</v>
      </c>
      <c r="E23" s="44" t="n">
        <v>83</v>
      </c>
      <c r="F23" s="44" t="n">
        <v>82</v>
      </c>
    </row>
    <row r="24" customFormat="false" ht="15" hidden="false" customHeight="false" outlineLevel="0" collapsed="false">
      <c r="A24" s="43" t="str">
        <f aca="false">B24&amp;"|"&amp;C24</f>
        <v>P3|Mağaza G</v>
      </c>
      <c r="B24" s="44" t="s">
        <v>15</v>
      </c>
      <c r="C24" s="44" t="s">
        <v>63</v>
      </c>
      <c r="D24" s="44" t="n">
        <v>95</v>
      </c>
      <c r="E24" s="44" t="n">
        <v>83</v>
      </c>
      <c r="F24" s="44" t="n">
        <v>87</v>
      </c>
    </row>
    <row r="25" customFormat="false" ht="15" hidden="false" customHeight="false" outlineLevel="0" collapsed="false">
      <c r="A25" s="43" t="str">
        <f aca="false">B25&amp;"|"&amp;C25</f>
        <v>P3|Mağaza H</v>
      </c>
      <c r="B25" s="44" t="s">
        <v>15</v>
      </c>
      <c r="C25" s="44" t="s">
        <v>64</v>
      </c>
      <c r="D25" s="44" t="n">
        <v>84</v>
      </c>
      <c r="E25" s="44" t="n">
        <v>96</v>
      </c>
      <c r="F25" s="44" t="n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2026-09-17T12:32:32Z</dcterms:created>
  <dc:creator>openpyxl</dc:creator>
  <dc:description/>
  <dc:language>en-US</dc:language>
  <cp:lastModifiedBy/>
  <dcterms:modified xsi:type="dcterms:W3CDTF">2026-09-17T12:32:34Z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